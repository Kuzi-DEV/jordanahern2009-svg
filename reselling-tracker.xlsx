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How To Use" sheetId="2" state="visible" r:id="rId4"/>
    <sheet name="Inventory" sheetId="3" state="visible" r:id="rId5"/>
    <sheet name="Settings" sheetId="4" state="visible" r:id="rId6"/>
  </sheets>
  <definedNames>
    <definedName function="false" hidden="true" localSheetId="2" name="_xlnm._FilterDatabase" vbProcedure="false">Inventory!$A$1:$V$501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All-in cost of the piece. Whatnot: include shipping + tax. Free = 0.</t>
        </r>
      </text>
    </comment>
    <comment ref="R1" authorId="0">
      <text>
        <r>
          <rPr>
            <sz val="10"/>
            <rFont val="Arial"/>
            <family val="2"/>
          </rPr>
          <t xml:space="preserve">Auto: Sold Price x Fee % + flat fee, from Settings.</t>
        </r>
      </text>
    </comment>
  </commentList>
</comments>
</file>

<file path=xl/sharedStrings.xml><?xml version="1.0" encoding="utf-8"?>
<sst xmlns="http://schemas.openxmlformats.org/spreadsheetml/2006/main" count="116" uniqueCount="84">
  <si>
    <t xml:space="preserve">Dashboard</t>
  </si>
  <si>
    <t xml:space="preserve">Revenue</t>
  </si>
  <si>
    <t xml:space="preserve">Fees</t>
  </si>
  <si>
    <t xml:space="preserve">Profit</t>
  </si>
  <si>
    <t xml:space="preserve">Items sold</t>
  </si>
  <si>
    <t xml:space="preserve">Avg profit per sale</t>
  </si>
  <si>
    <t xml:space="preserve">Avg days to sell</t>
  </si>
  <si>
    <t xml:space="preserve">Listed (unsold)</t>
  </si>
  <si>
    <t xml:space="preserve">Unlisted</t>
  </si>
  <si>
    <t xml:space="preserve">Stale listings</t>
  </si>
  <si>
    <t xml:space="preserve">Money tied up in unsold stock</t>
  </si>
  <si>
    <t xml:space="preserve">By Platform</t>
  </si>
  <si>
    <t xml:space="preserve">Platform</t>
  </si>
  <si>
    <t xml:space="preserve">Sold</t>
  </si>
  <si>
    <t xml:space="preserve">Avg profit</t>
  </si>
  <si>
    <t xml:space="preserve">Depop</t>
  </si>
  <si>
    <t xml:space="preserve">Vinted</t>
  </si>
  <si>
    <t xml:space="preserve">Other</t>
  </si>
  <si>
    <t xml:space="preserve">By Source</t>
  </si>
  <si>
    <t xml:space="preserve">Source</t>
  </si>
  <si>
    <t xml:space="preserve">In Person</t>
  </si>
  <si>
    <t xml:space="preserve">Wholesale</t>
  </si>
  <si>
    <t xml:space="preserve">Whatnot</t>
  </si>
  <si>
    <t xml:space="preserve">Free</t>
  </si>
  <si>
    <t xml:space="preserve">Reselling Tracker — Depop + Vinted</t>
  </si>
  <si>
    <t xml:space="preserve">Workflow</t>
  </si>
  <si>
    <t xml:space="preserve">1. Add a row in Inventory the day you get a piece (even if it was free). Give it an ID and write that ID on its tag/bin.</t>
  </si>
  <si>
    <t xml:space="preserve">2. When you list it: set Platform, Status = Listed, Date Listed, List Price.</t>
  </si>
  <si>
    <t xml:space="preserve">3. When it sells: Status = Sold, fill Date Sold and Sold Price. Fees and Profit calculate automatically.</t>
  </si>
  <si>
    <t xml:space="preserve">4. After you ship it: Status = Shipped.</t>
  </si>
  <si>
    <t xml:space="preserve">Which cells to edit</t>
  </si>
  <si>
    <t xml:space="preserve">Yellow cells / blue text = you type here. Grey/black cells = formulas, don't type over them.</t>
  </si>
  <si>
    <t xml:space="preserve">Inventory: columns A–Q and U are yours. R (Fees), S (Profit), T (Days), V (Flag) are automatic.</t>
  </si>
  <si>
    <t xml:space="preserve">Settings: fee rates per platform — check them against a real sale and update if they're off.</t>
  </si>
  <si>
    <t xml:space="preserve">Flags</t>
  </si>
  <si>
    <t xml:space="preserve">STALE = listed 30+ days without selling (change the number on Settings). Consider a price drop, bundle, or relist.</t>
  </si>
  <si>
    <t xml:space="preserve">Assumptions</t>
  </si>
  <si>
    <t xml:space="preserve">Buyers pay shipping on both platforms and polymailers are free, so shipping/packaging cost = $0 (per you).</t>
  </si>
  <si>
    <t xml:space="preserve">Cost = what you paid all-in for the piece. For Whatnot buys include the shipping + tax Whatnot adds.</t>
  </si>
  <si>
    <t xml:space="preserve">Row 2 of Inventory is an example — overwrite or delete it.</t>
  </si>
  <si>
    <t xml:space="preserve">ID</t>
  </si>
  <si>
    <t xml:space="preserve">Item</t>
  </si>
  <si>
    <t xml:space="preserve">Brand</t>
  </si>
  <si>
    <t xml:space="preserve">Category</t>
  </si>
  <si>
    <t xml:space="preserve">Era</t>
  </si>
  <si>
    <t xml:space="preserve">Size</t>
  </si>
  <si>
    <t xml:space="preserve">Condition</t>
  </si>
  <si>
    <t xml:space="preserve">Cost</t>
  </si>
  <si>
    <t xml:space="preserve">Bin / Location</t>
  </si>
  <si>
    <t xml:space="preserve">Status</t>
  </si>
  <si>
    <t xml:space="preserve">Date Bought</t>
  </si>
  <si>
    <t xml:space="preserve">Date Listed</t>
  </si>
  <si>
    <t xml:space="preserve">List Price</t>
  </si>
  <si>
    <t xml:space="preserve">Date Sold</t>
  </si>
  <si>
    <t xml:space="preserve">Sold Price</t>
  </si>
  <si>
    <t xml:space="preserve">Days Listed / To Sell</t>
  </si>
  <si>
    <t xml:space="preserve">Notes</t>
  </si>
  <si>
    <t xml:space="preserve">Flag</t>
  </si>
  <si>
    <t xml:space="preserve">V-0001</t>
  </si>
  <si>
    <t xml:space="preserve">Example: Y2K baby tee</t>
  </si>
  <si>
    <t xml:space="preserve">Baby Phat</t>
  </si>
  <si>
    <t xml:space="preserve">Top</t>
  </si>
  <si>
    <t xml:space="preserve">Y2K (2000s)</t>
  </si>
  <si>
    <t xml:space="preserve">M</t>
  </si>
  <si>
    <t xml:space="preserve">Good</t>
  </si>
  <si>
    <t xml:space="preserve">Bin A</t>
  </si>
  <si>
    <t xml:space="preserve">Example row — delete me</t>
  </si>
  <si>
    <t xml:space="preserve">Fee %</t>
  </si>
  <si>
    <t xml:space="preserve">Flat fee per sale</t>
  </si>
  <si>
    <t xml:space="preserve">Payment processing fee (approx, US). Verify against one of your sales.</t>
  </si>
  <si>
    <t xml:space="preserve">Buyer usually pays Vinted's fees; seller fee normally $0. Verify.</t>
  </si>
  <si>
    <t xml:space="preserve">Edit for any other platform.</t>
  </si>
  <si>
    <t xml:space="preserve">Stale after (days)</t>
  </si>
  <si>
    <t xml:space="preserve">Dropdown lists</t>
  </si>
  <si>
    <t xml:space="preserve">Pre-1990</t>
  </si>
  <si>
    <t xml:space="preserve">New w/ tags</t>
  </si>
  <si>
    <t xml:space="preserve">Listed</t>
  </si>
  <si>
    <t xml:space="preserve">90s</t>
  </si>
  <si>
    <t xml:space="preserve">Like new</t>
  </si>
  <si>
    <t xml:space="preserve">Shipped</t>
  </si>
  <si>
    <t xml:space="preserve">2010s+</t>
  </si>
  <si>
    <t xml:space="preserve">Fair</t>
  </si>
  <si>
    <t xml:space="preserve">Modern</t>
  </si>
  <si>
    <t xml:space="preserve">Flawed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</si>
</sst>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0"/>
    <numFmt numFmtId="167" formatCode="0.0"/>
    <numFmt numFmtId="168" formatCode="yyyy\-mm\-dd"/>
    <numFmt numFmtId="169" formatCode="General"/>
    <numFmt numFmtId="170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ECACA"/>
        </patternFill>
      </fill>
    </dxf>
    <dxf>
      <fill>
        <patternFill>
          <bgColor rgb="FFD1FA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(SUMIFS(Inventory!$Q$2:$Q$501,Inventory!$L$2:$L$501,"Sold")+SUMIFS(Inventory!$Q$2:$Q$501,Inventory!$L$2:$L$501,"Shipped"))</f>
        <v>32</v>
      </c>
    </row>
    <row r="4" customFormat="false" ht="15" hidden="false" customHeight="false" outlineLevel="0" collapsed="false">
      <c r="A4" s="2" t="s">
        <v>2</v>
      </c>
      <c r="B4" s="3" t="n">
        <f aca="false">(SUMIFS(Inventory!$R$2:$R$501,Inventory!$L$2:$L$501,"Sold")+SUMIFS(Inventory!$R$2:$R$501,Inventory!$L$2:$L$501,"Shipped"))</f>
        <v>1.51</v>
      </c>
    </row>
    <row r="5" customFormat="false" ht="15" hidden="false" customHeight="false" outlineLevel="0" collapsed="false">
      <c r="A5" s="2" t="s">
        <v>3</v>
      </c>
      <c r="B5" s="3" t="n">
        <f aca="false">(SUMIFS(Inventory!$S$2:$S$501,Inventory!$L$2:$L$501,"Sold")+SUMIFS(Inventory!$S$2:$S$501,Inventory!$L$2:$L$501,"Shipped"))</f>
        <v>30.49</v>
      </c>
    </row>
    <row r="6" customFormat="false" ht="15" hidden="false" customHeight="false" outlineLevel="0" collapsed="false">
      <c r="A6" s="2" t="s">
        <v>4</v>
      </c>
      <c r="B6" s="4" t="n">
        <f aca="false">(COUNTIFS(Inventory!$L$2:$L$501,"Sold")+COUNTIFS(Inventory!$L$2:$L$501,"Shipped"))</f>
        <v>1</v>
      </c>
    </row>
    <row r="7" customFormat="false" ht="15" hidden="false" customHeight="false" outlineLevel="0" collapsed="false">
      <c r="A7" s="2" t="s">
        <v>5</v>
      </c>
      <c r="B7" s="3" t="n">
        <f aca="false">IFERROR(B5/B6,0)</f>
        <v>30.49</v>
      </c>
    </row>
    <row r="8" customFormat="false" ht="15" hidden="false" customHeight="false" outlineLevel="0" collapsed="false">
      <c r="A8" s="2" t="s">
        <v>6</v>
      </c>
      <c r="B8" s="5" t="n">
        <f aca="false">IFERROR((SUMIFS(Inventory!$T$2:$T$501,Inventory!$L$2:$L$501,"Sold")+SUMIFS(Inventory!$T$2:$T$501,Inventory!$L$2:$L$501,"Shipped"))/(COUNTIFS(Inventory!$L$2:$L$501,"Sold")+COUNTIFS(Inventory!$L$2:$L$501,"Shipped")),0)</f>
        <v>6</v>
      </c>
    </row>
    <row r="9" customFormat="false" ht="15" hidden="false" customHeight="false" outlineLevel="0" collapsed="false">
      <c r="A9" s="2" t="s">
        <v>7</v>
      </c>
      <c r="B9" s="4" t="n">
        <f aca="false">COUNTIFS(Inventory!$L$2:$L$501,"Listed")</f>
        <v>0</v>
      </c>
    </row>
    <row r="10" customFormat="false" ht="15" hidden="false" customHeight="false" outlineLevel="0" collapsed="false">
      <c r="A10" s="2" t="s">
        <v>8</v>
      </c>
      <c r="B10" s="4" t="n">
        <f aca="false">COUNTIFS(Inventory!$L$2:$L$501,"Unlisted")</f>
        <v>0</v>
      </c>
    </row>
    <row r="11" customFormat="false" ht="15" hidden="false" customHeight="false" outlineLevel="0" collapsed="false">
      <c r="A11" s="2" t="s">
        <v>9</v>
      </c>
      <c r="B11" s="4" t="n">
        <f aca="false">COUNTIFS(Inventory!$V$2:$V$501,"STALE")</f>
        <v>0</v>
      </c>
    </row>
    <row r="12" customFormat="false" ht="15" hidden="false" customHeight="false" outlineLevel="0" collapsed="false">
      <c r="A12" s="2" t="s">
        <v>10</v>
      </c>
      <c r="B12" s="3" t="n">
        <f aca="false">SUMIFS(Inventory!$I$2:$I$501,Inventory!$L$2:$L$501,"Listed")+SUMIFS(Inventory!$I$2:$I$501,Inventory!$L$2:$L$501,"Unlisted")</f>
        <v>0</v>
      </c>
    </row>
    <row r="15" customFormat="false" ht="15" hidden="false" customHeight="false" outlineLevel="0" collapsed="false">
      <c r="A15" s="6" t="s">
        <v>11</v>
      </c>
    </row>
    <row r="16" customFormat="false" ht="15" hidden="false" customHeight="false" outlineLevel="0" collapsed="false">
      <c r="A16" s="7" t="s">
        <v>12</v>
      </c>
      <c r="B16" s="7" t="s">
        <v>13</v>
      </c>
      <c r="C16" s="7" t="s">
        <v>1</v>
      </c>
      <c r="D16" s="7" t="s">
        <v>3</v>
      </c>
      <c r="E16" s="7" t="s">
        <v>14</v>
      </c>
    </row>
    <row r="17" customFormat="false" ht="15" hidden="false" customHeight="false" outlineLevel="0" collapsed="false">
      <c r="A17" s="8" t="s">
        <v>15</v>
      </c>
      <c r="B17" s="8" t="n">
        <f aca="false">(COUNTIFS(Inventory!$L$2:$L$501,"Sold",Inventory!$K$2:$K$501,$A17)+COUNTIFS(Inventory!$L$2:$L$501,"Shipped",Inventory!$K$2:$K$501,$A17))</f>
        <v>1</v>
      </c>
      <c r="C17" s="3" t="n">
        <f aca="false">(SUMIFS(Inventory!$Q$2:$Q$501,Inventory!$L$2:$L$501,"Sold",Inventory!$K$2:$K$501,$A17)+SUMIFS(Inventory!$Q$2:$Q$501,Inventory!$L$2:$L$501,"Shipped",Inventory!$K$2:$K$501,$A17))</f>
        <v>32</v>
      </c>
      <c r="D17" s="3" t="n">
        <f aca="false">(SUMIFS(Inventory!$S$2:$S$501,Inventory!$L$2:$L$501,"Sold",Inventory!$K$2:$K$501,$A17)+SUMIFS(Inventory!$S$2:$S$501,Inventory!$L$2:$L$501,"Shipped",Inventory!$K$2:$K$501,$A17))</f>
        <v>30.49</v>
      </c>
      <c r="E17" s="3" t="n">
        <f aca="false">IFERROR(D17/B17,0)</f>
        <v>30.49</v>
      </c>
    </row>
    <row r="18" customFormat="false" ht="15" hidden="false" customHeight="false" outlineLevel="0" collapsed="false">
      <c r="A18" s="8" t="s">
        <v>16</v>
      </c>
      <c r="B18" s="8" t="n">
        <f aca="false">(COUNTIFS(Inventory!$L$2:$L$501,"Sold",Inventory!$K$2:$K$501,$A18)+COUNTIFS(Inventory!$L$2:$L$501,"Shipped",Inventory!$K$2:$K$501,$A18))</f>
        <v>0</v>
      </c>
      <c r="C18" s="3" t="n">
        <f aca="false">(SUMIFS(Inventory!$Q$2:$Q$501,Inventory!$L$2:$L$501,"Sold",Inventory!$K$2:$K$501,$A18)+SUMIFS(Inventory!$Q$2:$Q$501,Inventory!$L$2:$L$501,"Shipped",Inventory!$K$2:$K$501,$A18))</f>
        <v>0</v>
      </c>
      <c r="D18" s="3" t="n">
        <f aca="false">(SUMIFS(Inventory!$S$2:$S$501,Inventory!$L$2:$L$501,"Sold",Inventory!$K$2:$K$501,$A18)+SUMIFS(Inventory!$S$2:$S$501,Inventory!$L$2:$L$501,"Shipped",Inventory!$K$2:$K$501,$A18))</f>
        <v>0</v>
      </c>
      <c r="E18" s="3" t="n">
        <f aca="false">IFERROR(D18/B18,0)</f>
        <v>0</v>
      </c>
    </row>
    <row r="19" customFormat="false" ht="15" hidden="false" customHeight="false" outlineLevel="0" collapsed="false">
      <c r="A19" s="8" t="s">
        <v>17</v>
      </c>
      <c r="B19" s="8" t="n">
        <f aca="false">(COUNTIFS(Inventory!$L$2:$L$501,"Sold",Inventory!$K$2:$K$501,$A19)+COUNTIFS(Inventory!$L$2:$L$501,"Shipped",Inventory!$K$2:$K$501,$A19))</f>
        <v>0</v>
      </c>
      <c r="C19" s="3" t="n">
        <f aca="false">(SUMIFS(Inventory!$Q$2:$Q$501,Inventory!$L$2:$L$501,"Sold",Inventory!$K$2:$K$501,$A19)+SUMIFS(Inventory!$Q$2:$Q$501,Inventory!$L$2:$L$501,"Shipped",Inventory!$K$2:$K$501,$A19))</f>
        <v>0</v>
      </c>
      <c r="D19" s="3" t="n">
        <f aca="false">(SUMIFS(Inventory!$S$2:$S$501,Inventory!$L$2:$L$501,"Sold",Inventory!$K$2:$K$501,$A19)+SUMIFS(Inventory!$S$2:$S$501,Inventory!$L$2:$L$501,"Shipped",Inventory!$K$2:$K$501,$A19))</f>
        <v>0</v>
      </c>
      <c r="E19" s="3" t="n">
        <f aca="false">IFERROR(D19/B19,0)</f>
        <v>0</v>
      </c>
    </row>
    <row r="22" customFormat="false" ht="15" hidden="false" customHeight="false" outlineLevel="0" collapsed="false">
      <c r="A22" s="6" t="s">
        <v>18</v>
      </c>
    </row>
    <row r="23" customFormat="false" ht="15" hidden="false" customHeight="false" outlineLevel="0" collapsed="false">
      <c r="A23" s="7" t="s">
        <v>19</v>
      </c>
      <c r="B23" s="7" t="s">
        <v>13</v>
      </c>
      <c r="C23" s="7" t="s">
        <v>1</v>
      </c>
      <c r="D23" s="7" t="s">
        <v>3</v>
      </c>
      <c r="E23" s="7" t="s">
        <v>14</v>
      </c>
    </row>
    <row r="24" customFormat="false" ht="15" hidden="false" customHeight="false" outlineLevel="0" collapsed="false">
      <c r="A24" s="8" t="s">
        <v>20</v>
      </c>
      <c r="B24" s="8" t="n">
        <f aca="false">(COUNTIFS(Inventory!$L$2:$L$501,"Sold",Inventory!$H$2:$H$501,$A24)+COUNTIFS(Inventory!$L$2:$L$501,"Shipped",Inventory!$H$2:$H$501,$A24))</f>
        <v>0</v>
      </c>
      <c r="C24" s="3" t="n">
        <f aca="false">(SUMIFS(Inventory!$Q$2:$Q$501,Inventory!$L$2:$L$501,"Sold",Inventory!$H$2:$H$501,$A24)+SUMIFS(Inventory!$Q$2:$Q$501,Inventory!$L$2:$L$501,"Shipped",Inventory!$H$2:$H$501,$A24))</f>
        <v>0</v>
      </c>
      <c r="D24" s="3" t="n">
        <f aca="false">(SUMIFS(Inventory!$S$2:$S$501,Inventory!$L$2:$L$501,"Sold",Inventory!$H$2:$H$501,$A24)+SUMIFS(Inventory!$S$2:$S$501,Inventory!$L$2:$L$501,"Shipped",Inventory!$H$2:$H$501,$A24))</f>
        <v>0</v>
      </c>
      <c r="E24" s="3" t="n">
        <f aca="false">IFERROR(D24/B24,0)</f>
        <v>0</v>
      </c>
    </row>
    <row r="25" customFormat="false" ht="15" hidden="false" customHeight="false" outlineLevel="0" collapsed="false">
      <c r="A25" s="8" t="s">
        <v>21</v>
      </c>
      <c r="B25" s="8" t="n">
        <f aca="false">(COUNTIFS(Inventory!$L$2:$L$501,"Sold",Inventory!$H$2:$H$501,$A25)+COUNTIFS(Inventory!$L$2:$L$501,"Shipped",Inventory!$H$2:$H$501,$A25))</f>
        <v>0</v>
      </c>
      <c r="C25" s="3" t="n">
        <f aca="false">(SUMIFS(Inventory!$Q$2:$Q$501,Inventory!$L$2:$L$501,"Sold",Inventory!$H$2:$H$501,$A25)+SUMIFS(Inventory!$Q$2:$Q$501,Inventory!$L$2:$L$501,"Shipped",Inventory!$H$2:$H$501,$A25))</f>
        <v>0</v>
      </c>
      <c r="D25" s="3" t="n">
        <f aca="false">(SUMIFS(Inventory!$S$2:$S$501,Inventory!$L$2:$L$501,"Sold",Inventory!$H$2:$H$501,$A25)+SUMIFS(Inventory!$S$2:$S$501,Inventory!$L$2:$L$501,"Shipped",Inventory!$H$2:$H$501,$A25))</f>
        <v>0</v>
      </c>
      <c r="E25" s="3" t="n">
        <f aca="false">IFERROR(D25/B25,0)</f>
        <v>0</v>
      </c>
    </row>
    <row r="26" customFormat="false" ht="15" hidden="false" customHeight="false" outlineLevel="0" collapsed="false">
      <c r="A26" s="8" t="s">
        <v>22</v>
      </c>
      <c r="B26" s="8" t="n">
        <f aca="false">(COUNTIFS(Inventory!$L$2:$L$501,"Sold",Inventory!$H$2:$H$501,$A26)+COUNTIFS(Inventory!$L$2:$L$501,"Shipped",Inventory!$H$2:$H$501,$A26))</f>
        <v>0</v>
      </c>
      <c r="C26" s="3" t="n">
        <f aca="false">(SUMIFS(Inventory!$Q$2:$Q$501,Inventory!$L$2:$L$501,"Sold",Inventory!$H$2:$H$501,$A26)+SUMIFS(Inventory!$Q$2:$Q$501,Inventory!$L$2:$L$501,"Shipped",Inventory!$H$2:$H$501,$A26))</f>
        <v>0</v>
      </c>
      <c r="D26" s="3" t="n">
        <f aca="false">(SUMIFS(Inventory!$S$2:$S$501,Inventory!$L$2:$L$501,"Sold",Inventory!$H$2:$H$501,$A26)+SUMIFS(Inventory!$S$2:$S$501,Inventory!$L$2:$L$501,"Shipped",Inventory!$H$2:$H$501,$A26))</f>
        <v>0</v>
      </c>
      <c r="E26" s="3" t="n">
        <f aca="false">IFERROR(D26/B26,0)</f>
        <v>0</v>
      </c>
    </row>
    <row r="27" customFormat="false" ht="15" hidden="false" customHeight="false" outlineLevel="0" collapsed="false">
      <c r="A27" s="8" t="s">
        <v>23</v>
      </c>
      <c r="B27" s="8" t="n">
        <f aca="false">(COUNTIFS(Inventory!$L$2:$L$501,"Sold",Inventory!$H$2:$H$501,$A27)+COUNTIFS(Inventory!$L$2:$L$501,"Shipped",Inventory!$H$2:$H$501,$A27))</f>
        <v>1</v>
      </c>
      <c r="C27" s="3" t="n">
        <f aca="false">(SUMIFS(Inventory!$Q$2:$Q$501,Inventory!$L$2:$L$501,"Sold",Inventory!$H$2:$H$501,$A27)+SUMIFS(Inventory!$Q$2:$Q$501,Inventory!$L$2:$L$501,"Shipped",Inventory!$H$2:$H$501,$A27))</f>
        <v>32</v>
      </c>
      <c r="D27" s="3" t="n">
        <f aca="false">(SUMIFS(Inventory!$S$2:$S$501,Inventory!$L$2:$L$501,"Sold",Inventory!$H$2:$H$501,$A27)+SUMIFS(Inventory!$S$2:$S$501,Inventory!$L$2:$L$501,"Shipped",Inventory!$H$2:$H$501,$A27))</f>
        <v>30.49</v>
      </c>
      <c r="E27" s="3" t="n">
        <f aca="false">IFERROR(D27/B27,0)</f>
        <v>30.49</v>
      </c>
    </row>
    <row r="28" customFormat="false" ht="15" hidden="false" customHeight="false" outlineLevel="0" collapsed="false">
      <c r="A28" s="8" t="s">
        <v>17</v>
      </c>
      <c r="B28" s="8" t="n">
        <f aca="false">(COUNTIFS(Inventory!$L$2:$L$501,"Sold",Inventory!$H$2:$H$501,$A28)+COUNTIFS(Inventory!$L$2:$L$501,"Shipped",Inventory!$H$2:$H$501,$A28))</f>
        <v>0</v>
      </c>
      <c r="C28" s="3" t="n">
        <f aca="false">(SUMIFS(Inventory!$Q$2:$Q$501,Inventory!$L$2:$L$501,"Sold",Inventory!$H$2:$H$501,$A28)+SUMIFS(Inventory!$Q$2:$Q$501,Inventory!$L$2:$L$501,"Shipped",Inventory!$H$2:$H$501,$A28))</f>
        <v>0</v>
      </c>
      <c r="D28" s="3" t="n">
        <f aca="false">(SUMIFS(Inventory!$S$2:$S$501,Inventory!$L$2:$L$501,"Sold",Inventory!$H$2:$H$501,$A28)+SUMIFS(Inventory!$S$2:$S$501,Inventory!$L$2:$L$501,"Shipped",Inventory!$H$2:$H$501,$A28))</f>
        <v>0</v>
      </c>
      <c r="E28" s="3" t="n">
        <f aca="false">IFERROR(D28/B28,0)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2" t="s">
        <v>25</v>
      </c>
    </row>
    <row r="4" customFormat="false" ht="15" hidden="false" customHeight="false" outlineLevel="0" collapsed="false">
      <c r="A4" s="8" t="s">
        <v>26</v>
      </c>
    </row>
    <row r="5" customFormat="false" ht="15" hidden="false" customHeight="false" outlineLevel="0" collapsed="false">
      <c r="A5" s="8" t="s">
        <v>27</v>
      </c>
    </row>
    <row r="6" customFormat="false" ht="15" hidden="false" customHeight="false" outlineLevel="0" collapsed="false">
      <c r="A6" s="8" t="s">
        <v>28</v>
      </c>
    </row>
    <row r="7" customFormat="false" ht="15" hidden="false" customHeight="false" outlineLevel="0" collapsed="false">
      <c r="A7" s="8" t="s">
        <v>29</v>
      </c>
    </row>
    <row r="8" customFormat="false" ht="15" hidden="false" customHeight="false" outlineLevel="0" collapsed="false">
      <c r="A8" s="8"/>
    </row>
    <row r="9" customFormat="false" ht="15" hidden="false" customHeight="false" outlineLevel="0" collapsed="false">
      <c r="A9" s="2" t="s">
        <v>30</v>
      </c>
    </row>
    <row r="10" customFormat="false" ht="15" hidden="false" customHeight="false" outlineLevel="0" collapsed="false">
      <c r="A10" s="8" t="s">
        <v>31</v>
      </c>
    </row>
    <row r="11" customFormat="false" ht="15" hidden="false" customHeight="false" outlineLevel="0" collapsed="false">
      <c r="A11" s="8" t="s">
        <v>32</v>
      </c>
    </row>
    <row r="12" customFormat="false" ht="15" hidden="false" customHeight="false" outlineLevel="0" collapsed="false">
      <c r="A12" s="8" t="s">
        <v>33</v>
      </c>
    </row>
    <row r="13" customFormat="false" ht="15" hidden="false" customHeight="false" outlineLevel="0" collapsed="false">
      <c r="A13" s="8"/>
    </row>
    <row r="14" customFormat="false" ht="15" hidden="false" customHeight="false" outlineLevel="0" collapsed="false">
      <c r="A14" s="2" t="s">
        <v>34</v>
      </c>
    </row>
    <row r="15" customFormat="false" ht="15" hidden="false" customHeight="false" outlineLevel="0" collapsed="false">
      <c r="A15" s="8" t="s">
        <v>35</v>
      </c>
    </row>
    <row r="16" customFormat="false" ht="15" hidden="false" customHeight="false" outlineLevel="0" collapsed="false">
      <c r="A16" s="8"/>
    </row>
    <row r="17" customFormat="false" ht="15" hidden="false" customHeight="false" outlineLevel="0" collapsed="false">
      <c r="A17" s="2" t="s">
        <v>36</v>
      </c>
    </row>
    <row r="18" customFormat="false" ht="15" hidden="false" customHeight="false" outlineLevel="0" collapsed="false">
      <c r="A18" s="8" t="s">
        <v>37</v>
      </c>
    </row>
    <row r="19" customFormat="false" ht="15" hidden="false" customHeight="false" outlineLevel="0" collapsed="false">
      <c r="A19" s="8" t="s">
        <v>38</v>
      </c>
    </row>
    <row r="20" customFormat="false" ht="15" hidden="false" customHeight="false" outlineLevel="0" collapsed="false">
      <c r="A20" s="8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4" min="13" style="0" width="12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9" min="18" style="0" width="10"/>
    <col collapsed="false" customWidth="true" hidden="false" outlineLevel="0" max="20" min="20" style="0" width="12"/>
    <col collapsed="false" customWidth="true" hidden="false" outlineLevel="0" max="21" min="21" style="0" width="30"/>
    <col collapsed="false" customWidth="true" hidden="false" outlineLevel="0" max="22" min="22" style="0" width="9"/>
  </cols>
  <sheetData>
    <row r="1" customFormat="false" ht="30" hidden="false" customHeight="true" outlineLevel="0" collapsed="false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19</v>
      </c>
      <c r="I1" s="9" t="s">
        <v>47</v>
      </c>
      <c r="J1" s="9" t="s">
        <v>48</v>
      </c>
      <c r="K1" s="9" t="s">
        <v>12</v>
      </c>
      <c r="L1" s="9" t="s">
        <v>49</v>
      </c>
      <c r="M1" s="9" t="s">
        <v>50</v>
      </c>
      <c r="N1" s="9" t="s">
        <v>51</v>
      </c>
      <c r="O1" s="9" t="s">
        <v>52</v>
      </c>
      <c r="P1" s="9" t="s">
        <v>53</v>
      </c>
      <c r="Q1" s="9" t="s">
        <v>54</v>
      </c>
      <c r="R1" s="9" t="s">
        <v>2</v>
      </c>
      <c r="S1" s="9" t="s">
        <v>3</v>
      </c>
      <c r="T1" s="9" t="s">
        <v>55</v>
      </c>
      <c r="U1" s="9" t="s">
        <v>56</v>
      </c>
      <c r="V1" s="9" t="s">
        <v>57</v>
      </c>
    </row>
    <row r="2" customFormat="false" ht="15" hidden="false" customHeight="false" outlineLevel="0" collapsed="false">
      <c r="A2" s="10" t="s">
        <v>58</v>
      </c>
      <c r="B2" s="10" t="s">
        <v>59</v>
      </c>
      <c r="C2" s="10" t="s">
        <v>60</v>
      </c>
      <c r="D2" s="10" t="s">
        <v>61</v>
      </c>
      <c r="E2" s="10" t="s">
        <v>62</v>
      </c>
      <c r="F2" s="10" t="s">
        <v>63</v>
      </c>
      <c r="G2" s="10" t="s">
        <v>64</v>
      </c>
      <c r="H2" s="10" t="s">
        <v>23</v>
      </c>
      <c r="I2" s="11" t="n">
        <v>0</v>
      </c>
      <c r="J2" s="10" t="s">
        <v>65</v>
      </c>
      <c r="K2" s="10" t="s">
        <v>15</v>
      </c>
      <c r="L2" s="10" t="s">
        <v>13</v>
      </c>
      <c r="M2" s="12" t="n">
        <v>46314</v>
      </c>
      <c r="N2" s="12" t="n">
        <v>46315</v>
      </c>
      <c r="O2" s="11" t="n">
        <v>35</v>
      </c>
      <c r="P2" s="12" t="n">
        <v>46321</v>
      </c>
      <c r="Q2" s="11" t="n">
        <v>32</v>
      </c>
      <c r="R2" s="13" t="n">
        <f aca="false">IF(Q2="","",ROUND(Q2*IFERROR(INDEX(Settings!$B$2:$B$4,MATCH(K2,Settings!$A$2:$A$4,0)),0)+IFERROR(INDEX(Settings!$C$2:$C$4,MATCH(K2,Settings!$A$2:$A$4,0)),0),2))</f>
        <v>1.51</v>
      </c>
      <c r="S2" s="13" t="n">
        <f aca="false">IF(Q2="","",Q2-R2-N(I2))</f>
        <v>30.49</v>
      </c>
      <c r="T2" s="14" t="n">
        <f aca="true">IF(N2="","",IF(P2&lt;&gt;"",P2-N2,TODAY()-N2))</f>
        <v>6</v>
      </c>
      <c r="U2" s="10" t="s">
        <v>66</v>
      </c>
      <c r="V2" s="14" t="str">
        <f aca="true">IF(AND(L2="Listed",N2&lt;&gt;"",P2=""),IF(TODAY()-N2&gt;=Settings!$B$6,"STALE",""),"")</f>
        <v/>
      </c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1"/>
      <c r="J3" s="10"/>
      <c r="K3" s="10"/>
      <c r="L3" s="10"/>
      <c r="M3" s="12"/>
      <c r="N3" s="12"/>
      <c r="O3" s="11"/>
      <c r="P3" s="12"/>
      <c r="Q3" s="11"/>
      <c r="R3" s="13" t="str">
        <f aca="false">IF(Q3="","",ROUND(Q3*IFERROR(INDEX(Settings!$B$2:$B$4,MATCH(K3,Settings!$A$2:$A$4,0)),0)+IFERROR(INDEX(Settings!$C$2:$C$4,MATCH(K3,Settings!$A$2:$A$4,0)),0),2))</f>
        <v/>
      </c>
      <c r="S3" s="13" t="str">
        <f aca="false">IF(Q3="","",Q3-R3-N(I3))</f>
        <v/>
      </c>
      <c r="T3" s="14" t="str">
        <f aca="true">IF(N3="","",IF(P3&lt;&gt;"",P3-N3,TODAY()-N3))</f>
        <v/>
      </c>
      <c r="U3" s="10"/>
      <c r="V3" s="14" t="str">
        <f aca="true">IF(AND(L3="Listed",N3&lt;&gt;"",P3=""),IF(TODAY()-N3&gt;=Settings!$B$6,"STALE",""),"")</f>
        <v/>
      </c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1"/>
      <c r="J4" s="10"/>
      <c r="K4" s="10"/>
      <c r="L4" s="10"/>
      <c r="M4" s="12"/>
      <c r="N4" s="12"/>
      <c r="O4" s="11"/>
      <c r="P4" s="12"/>
      <c r="Q4" s="11"/>
      <c r="R4" s="13" t="str">
        <f aca="false">IF(Q4="","",ROUND(Q4*IFERROR(INDEX(Settings!$B$2:$B$4,MATCH(K4,Settings!$A$2:$A$4,0)),0)+IFERROR(INDEX(Settings!$C$2:$C$4,MATCH(K4,Settings!$A$2:$A$4,0)),0),2))</f>
        <v/>
      </c>
      <c r="S4" s="13" t="str">
        <f aca="false">IF(Q4="","",Q4-R4-N(I4))</f>
        <v/>
      </c>
      <c r="T4" s="14" t="str">
        <f aca="true">IF(N4="","",IF(P4&lt;&gt;"",P4-N4,TODAY()-N4))</f>
        <v/>
      </c>
      <c r="U4" s="10"/>
      <c r="V4" s="14" t="str">
        <f aca="true">IF(AND(L4="Listed",N4&lt;&gt;"",P4=""),IF(TODAY()-N4&gt;=Settings!$B$6,"STALE",""),"")</f>
        <v/>
      </c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1"/>
      <c r="J5" s="10"/>
      <c r="K5" s="10"/>
      <c r="L5" s="10"/>
      <c r="M5" s="12"/>
      <c r="N5" s="12"/>
      <c r="O5" s="11"/>
      <c r="P5" s="12"/>
      <c r="Q5" s="11"/>
      <c r="R5" s="13" t="str">
        <f aca="false">IF(Q5="","",ROUND(Q5*IFERROR(INDEX(Settings!$B$2:$B$4,MATCH(K5,Settings!$A$2:$A$4,0)),0)+IFERROR(INDEX(Settings!$C$2:$C$4,MATCH(K5,Settings!$A$2:$A$4,0)),0),2))</f>
        <v/>
      </c>
      <c r="S5" s="13" t="str">
        <f aca="false">IF(Q5="","",Q5-R5-N(I5))</f>
        <v/>
      </c>
      <c r="T5" s="14" t="str">
        <f aca="true">IF(N5="","",IF(P5&lt;&gt;"",P5-N5,TODAY()-N5))</f>
        <v/>
      </c>
      <c r="U5" s="10"/>
      <c r="V5" s="14" t="str">
        <f aca="true">IF(AND(L5="Listed",N5&lt;&gt;"",P5=""),IF(TODAY()-N5&gt;=Settings!$B$6,"STALE",""),"")</f>
        <v/>
      </c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1"/>
      <c r="J6" s="10"/>
      <c r="K6" s="10"/>
      <c r="L6" s="10"/>
      <c r="M6" s="12"/>
      <c r="N6" s="12"/>
      <c r="O6" s="11"/>
      <c r="P6" s="12"/>
      <c r="Q6" s="11"/>
      <c r="R6" s="13" t="str">
        <f aca="false">IF(Q6="","",ROUND(Q6*IFERROR(INDEX(Settings!$B$2:$B$4,MATCH(K6,Settings!$A$2:$A$4,0)),0)+IFERROR(INDEX(Settings!$C$2:$C$4,MATCH(K6,Settings!$A$2:$A$4,0)),0),2))</f>
        <v/>
      </c>
      <c r="S6" s="13" t="str">
        <f aca="false">IF(Q6="","",Q6-R6-N(I6))</f>
        <v/>
      </c>
      <c r="T6" s="14" t="str">
        <f aca="true">IF(N6="","",IF(P6&lt;&gt;"",P6-N6,TODAY()-N6))</f>
        <v/>
      </c>
      <c r="U6" s="10"/>
      <c r="V6" s="14" t="str">
        <f aca="true">IF(AND(L6="Listed",N6&lt;&gt;"",P6=""),IF(TODAY()-N6&gt;=Settings!$B$6,"STALE",""),"")</f>
        <v/>
      </c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1"/>
      <c r="J7" s="10"/>
      <c r="K7" s="10"/>
      <c r="L7" s="10"/>
      <c r="M7" s="12"/>
      <c r="N7" s="12"/>
      <c r="O7" s="11"/>
      <c r="P7" s="12"/>
      <c r="Q7" s="11"/>
      <c r="R7" s="13" t="str">
        <f aca="false">IF(Q7="","",ROUND(Q7*IFERROR(INDEX(Settings!$B$2:$B$4,MATCH(K7,Settings!$A$2:$A$4,0)),0)+IFERROR(INDEX(Settings!$C$2:$C$4,MATCH(K7,Settings!$A$2:$A$4,0)),0),2))</f>
        <v/>
      </c>
      <c r="S7" s="13" t="str">
        <f aca="false">IF(Q7="","",Q7-R7-N(I7))</f>
        <v/>
      </c>
      <c r="T7" s="14" t="str">
        <f aca="true">IF(N7="","",IF(P7&lt;&gt;"",P7-N7,TODAY()-N7))</f>
        <v/>
      </c>
      <c r="U7" s="10"/>
      <c r="V7" s="14" t="str">
        <f aca="true">IF(AND(L7="Listed",N7&lt;&gt;"",P7=""),IF(TODAY()-N7&gt;=Settings!$B$6,"STALE",""),"")</f>
        <v/>
      </c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1"/>
      <c r="J8" s="10"/>
      <c r="K8" s="10"/>
      <c r="L8" s="10"/>
      <c r="M8" s="12"/>
      <c r="N8" s="12"/>
      <c r="O8" s="11"/>
      <c r="P8" s="12"/>
      <c r="Q8" s="11"/>
      <c r="R8" s="13" t="str">
        <f aca="false">IF(Q8="","",ROUND(Q8*IFERROR(INDEX(Settings!$B$2:$B$4,MATCH(K8,Settings!$A$2:$A$4,0)),0)+IFERROR(INDEX(Settings!$C$2:$C$4,MATCH(K8,Settings!$A$2:$A$4,0)),0),2))</f>
        <v/>
      </c>
      <c r="S8" s="13" t="str">
        <f aca="false">IF(Q8="","",Q8-R8-N(I8))</f>
        <v/>
      </c>
      <c r="T8" s="14" t="str">
        <f aca="true">IF(N8="","",IF(P8&lt;&gt;"",P8-N8,TODAY()-N8))</f>
        <v/>
      </c>
      <c r="U8" s="10"/>
      <c r="V8" s="14" t="str">
        <f aca="true">IF(AND(L8="Listed",N8&lt;&gt;"",P8=""),IF(TODAY()-N8&gt;=Settings!$B$6,"STALE",""),"")</f>
        <v/>
      </c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1"/>
      <c r="J9" s="10"/>
      <c r="K9" s="10"/>
      <c r="L9" s="10"/>
      <c r="M9" s="12"/>
      <c r="N9" s="12"/>
      <c r="O9" s="11"/>
      <c r="P9" s="12"/>
      <c r="Q9" s="11"/>
      <c r="R9" s="13" t="str">
        <f aca="false">IF(Q9="","",ROUND(Q9*IFERROR(INDEX(Settings!$B$2:$B$4,MATCH(K9,Settings!$A$2:$A$4,0)),0)+IFERROR(INDEX(Settings!$C$2:$C$4,MATCH(K9,Settings!$A$2:$A$4,0)),0),2))</f>
        <v/>
      </c>
      <c r="S9" s="13" t="str">
        <f aca="false">IF(Q9="","",Q9-R9-N(I9))</f>
        <v/>
      </c>
      <c r="T9" s="14" t="str">
        <f aca="true">IF(N9="","",IF(P9&lt;&gt;"",P9-N9,TODAY()-N9))</f>
        <v/>
      </c>
      <c r="U9" s="10"/>
      <c r="V9" s="14" t="str">
        <f aca="true">IF(AND(L9="Listed",N9&lt;&gt;"",P9=""),IF(TODAY()-N9&gt;=Settings!$B$6,"STALE",""),"")</f>
        <v/>
      </c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1"/>
      <c r="J10" s="10"/>
      <c r="K10" s="10"/>
      <c r="L10" s="10"/>
      <c r="M10" s="12"/>
      <c r="N10" s="12"/>
      <c r="O10" s="11"/>
      <c r="P10" s="12"/>
      <c r="Q10" s="11"/>
      <c r="R10" s="13" t="str">
        <f aca="false">IF(Q10="","",ROUND(Q10*IFERROR(INDEX(Settings!$B$2:$B$4,MATCH(K10,Settings!$A$2:$A$4,0)),0)+IFERROR(INDEX(Settings!$C$2:$C$4,MATCH(K10,Settings!$A$2:$A$4,0)),0),2))</f>
        <v/>
      </c>
      <c r="S10" s="13" t="str">
        <f aca="false">IF(Q10="","",Q10-R10-N(I10))</f>
        <v/>
      </c>
      <c r="T10" s="14" t="str">
        <f aca="true">IF(N10="","",IF(P10&lt;&gt;"",P10-N10,TODAY()-N10))</f>
        <v/>
      </c>
      <c r="U10" s="10"/>
      <c r="V10" s="14" t="str">
        <f aca="true">IF(AND(L10="Listed",N10&lt;&gt;"",P10=""),IF(TODAY()-N10&gt;=Settings!$B$6,"STALE",""),"")</f>
        <v/>
      </c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1"/>
      <c r="J11" s="10"/>
      <c r="K11" s="10"/>
      <c r="L11" s="10"/>
      <c r="M11" s="12"/>
      <c r="N11" s="12"/>
      <c r="O11" s="11"/>
      <c r="P11" s="12"/>
      <c r="Q11" s="11"/>
      <c r="R11" s="13" t="str">
        <f aca="false">IF(Q11="","",ROUND(Q11*IFERROR(INDEX(Settings!$B$2:$B$4,MATCH(K11,Settings!$A$2:$A$4,0)),0)+IFERROR(INDEX(Settings!$C$2:$C$4,MATCH(K11,Settings!$A$2:$A$4,0)),0),2))</f>
        <v/>
      </c>
      <c r="S11" s="13" t="str">
        <f aca="false">IF(Q11="","",Q11-R11-N(I11))</f>
        <v/>
      </c>
      <c r="T11" s="14" t="str">
        <f aca="true">IF(N11="","",IF(P11&lt;&gt;"",P11-N11,TODAY()-N11))</f>
        <v/>
      </c>
      <c r="U11" s="10"/>
      <c r="V11" s="14" t="str">
        <f aca="true">IF(AND(L11="Listed",N11&lt;&gt;"",P11=""),IF(TODAY()-N11&gt;=Settings!$B$6,"STALE",""),"")</f>
        <v/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1"/>
      <c r="J12" s="10"/>
      <c r="K12" s="10"/>
      <c r="L12" s="10"/>
      <c r="M12" s="12"/>
      <c r="N12" s="12"/>
      <c r="O12" s="11"/>
      <c r="P12" s="12"/>
      <c r="Q12" s="11"/>
      <c r="R12" s="13" t="str">
        <f aca="false">IF(Q12="","",ROUND(Q12*IFERROR(INDEX(Settings!$B$2:$B$4,MATCH(K12,Settings!$A$2:$A$4,0)),0)+IFERROR(INDEX(Settings!$C$2:$C$4,MATCH(K12,Settings!$A$2:$A$4,0)),0),2))</f>
        <v/>
      </c>
      <c r="S12" s="13" t="str">
        <f aca="false">IF(Q12="","",Q12-R12-N(I12))</f>
        <v/>
      </c>
      <c r="T12" s="14" t="str">
        <f aca="true">IF(N12="","",IF(P12&lt;&gt;"",P12-N12,TODAY()-N12))</f>
        <v/>
      </c>
      <c r="U12" s="10"/>
      <c r="V12" s="14" t="str">
        <f aca="true">IF(AND(L12="Listed",N12&lt;&gt;"",P12=""),IF(TODAY()-N12&gt;=Settings!$B$6,"STALE",""),"")</f>
        <v/>
      </c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1"/>
      <c r="J13" s="10"/>
      <c r="K13" s="10"/>
      <c r="L13" s="10"/>
      <c r="M13" s="12"/>
      <c r="N13" s="12"/>
      <c r="O13" s="11"/>
      <c r="P13" s="12"/>
      <c r="Q13" s="11"/>
      <c r="R13" s="13" t="str">
        <f aca="false">IF(Q13="","",ROUND(Q13*IFERROR(INDEX(Settings!$B$2:$B$4,MATCH(K13,Settings!$A$2:$A$4,0)),0)+IFERROR(INDEX(Settings!$C$2:$C$4,MATCH(K13,Settings!$A$2:$A$4,0)),0),2))</f>
        <v/>
      </c>
      <c r="S13" s="13" t="str">
        <f aca="false">IF(Q13="","",Q13-R13-N(I13))</f>
        <v/>
      </c>
      <c r="T13" s="14" t="str">
        <f aca="true">IF(N13="","",IF(P13&lt;&gt;"",P13-N13,TODAY()-N13))</f>
        <v/>
      </c>
      <c r="U13" s="10"/>
      <c r="V13" s="14" t="str">
        <f aca="true">IF(AND(L13="Listed",N13&lt;&gt;"",P13=""),IF(TODAY()-N13&gt;=Settings!$B$6,"STALE",""),"")</f>
        <v/>
      </c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1"/>
      <c r="J14" s="10"/>
      <c r="K14" s="10"/>
      <c r="L14" s="10"/>
      <c r="M14" s="12"/>
      <c r="N14" s="12"/>
      <c r="O14" s="11"/>
      <c r="P14" s="12"/>
      <c r="Q14" s="11"/>
      <c r="R14" s="13" t="str">
        <f aca="false">IF(Q14="","",ROUND(Q14*IFERROR(INDEX(Settings!$B$2:$B$4,MATCH(K14,Settings!$A$2:$A$4,0)),0)+IFERROR(INDEX(Settings!$C$2:$C$4,MATCH(K14,Settings!$A$2:$A$4,0)),0),2))</f>
        <v/>
      </c>
      <c r="S14" s="13" t="str">
        <f aca="false">IF(Q14="","",Q14-R14-N(I14))</f>
        <v/>
      </c>
      <c r="T14" s="14" t="str">
        <f aca="true">IF(N14="","",IF(P14&lt;&gt;"",P14-N14,TODAY()-N14))</f>
        <v/>
      </c>
      <c r="U14" s="10"/>
      <c r="V14" s="14" t="str">
        <f aca="true">IF(AND(L14="Listed",N14&lt;&gt;"",P14=""),IF(TODAY()-N14&gt;=Settings!$B$6,"STALE",""),"")</f>
        <v/>
      </c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1"/>
      <c r="J15" s="10"/>
      <c r="K15" s="10"/>
      <c r="L15" s="10"/>
      <c r="M15" s="12"/>
      <c r="N15" s="12"/>
      <c r="O15" s="11"/>
      <c r="P15" s="12"/>
      <c r="Q15" s="11"/>
      <c r="R15" s="13" t="str">
        <f aca="false">IF(Q15="","",ROUND(Q15*IFERROR(INDEX(Settings!$B$2:$B$4,MATCH(K15,Settings!$A$2:$A$4,0)),0)+IFERROR(INDEX(Settings!$C$2:$C$4,MATCH(K15,Settings!$A$2:$A$4,0)),0),2))</f>
        <v/>
      </c>
      <c r="S15" s="13" t="str">
        <f aca="false">IF(Q15="","",Q15-R15-N(I15))</f>
        <v/>
      </c>
      <c r="T15" s="14" t="str">
        <f aca="true">IF(N15="","",IF(P15&lt;&gt;"",P15-N15,TODAY()-N15))</f>
        <v/>
      </c>
      <c r="U15" s="10"/>
      <c r="V15" s="14" t="str">
        <f aca="true">IF(AND(L15="Listed",N15&lt;&gt;"",P15=""),IF(TODAY()-N15&gt;=Settings!$B$6,"STALE",""),"")</f>
        <v/>
      </c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1"/>
      <c r="J16" s="10"/>
      <c r="K16" s="10"/>
      <c r="L16" s="10"/>
      <c r="M16" s="12"/>
      <c r="N16" s="12"/>
      <c r="O16" s="11"/>
      <c r="P16" s="12"/>
      <c r="Q16" s="11"/>
      <c r="R16" s="13" t="str">
        <f aca="false">IF(Q16="","",ROUND(Q16*IFERROR(INDEX(Settings!$B$2:$B$4,MATCH(K16,Settings!$A$2:$A$4,0)),0)+IFERROR(INDEX(Settings!$C$2:$C$4,MATCH(K16,Settings!$A$2:$A$4,0)),0),2))</f>
        <v/>
      </c>
      <c r="S16" s="13" t="str">
        <f aca="false">IF(Q16="","",Q16-R16-N(I16))</f>
        <v/>
      </c>
      <c r="T16" s="14" t="str">
        <f aca="true">IF(N16="","",IF(P16&lt;&gt;"",P16-N16,TODAY()-N16))</f>
        <v/>
      </c>
      <c r="U16" s="10"/>
      <c r="V16" s="14" t="str">
        <f aca="true">IF(AND(L16="Listed",N16&lt;&gt;"",P16=""),IF(TODAY()-N16&gt;=Settings!$B$6,"STALE",""),"")</f>
        <v/>
      </c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1"/>
      <c r="J17" s="10"/>
      <c r="K17" s="10"/>
      <c r="L17" s="10"/>
      <c r="M17" s="12"/>
      <c r="N17" s="12"/>
      <c r="O17" s="11"/>
      <c r="P17" s="12"/>
      <c r="Q17" s="11"/>
      <c r="R17" s="13" t="str">
        <f aca="false">IF(Q17="","",ROUND(Q17*IFERROR(INDEX(Settings!$B$2:$B$4,MATCH(K17,Settings!$A$2:$A$4,0)),0)+IFERROR(INDEX(Settings!$C$2:$C$4,MATCH(K17,Settings!$A$2:$A$4,0)),0),2))</f>
        <v/>
      </c>
      <c r="S17" s="13" t="str">
        <f aca="false">IF(Q17="","",Q17-R17-N(I17))</f>
        <v/>
      </c>
      <c r="T17" s="14" t="str">
        <f aca="true">IF(N17="","",IF(P17&lt;&gt;"",P17-N17,TODAY()-N17))</f>
        <v/>
      </c>
      <c r="U17" s="10"/>
      <c r="V17" s="14" t="str">
        <f aca="true">IF(AND(L17="Listed",N17&lt;&gt;"",P17=""),IF(TODAY()-N17&gt;=Settings!$B$6,"STALE",""),"")</f>
        <v/>
      </c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1"/>
      <c r="J18" s="10"/>
      <c r="K18" s="10"/>
      <c r="L18" s="10"/>
      <c r="M18" s="12"/>
      <c r="N18" s="12"/>
      <c r="O18" s="11"/>
      <c r="P18" s="12"/>
      <c r="Q18" s="11"/>
      <c r="R18" s="13" t="str">
        <f aca="false">IF(Q18="","",ROUND(Q18*IFERROR(INDEX(Settings!$B$2:$B$4,MATCH(K18,Settings!$A$2:$A$4,0)),0)+IFERROR(INDEX(Settings!$C$2:$C$4,MATCH(K18,Settings!$A$2:$A$4,0)),0),2))</f>
        <v/>
      </c>
      <c r="S18" s="13" t="str">
        <f aca="false">IF(Q18="","",Q18-R18-N(I18))</f>
        <v/>
      </c>
      <c r="T18" s="14" t="str">
        <f aca="true">IF(N18="","",IF(P18&lt;&gt;"",P18-N18,TODAY()-N18))</f>
        <v/>
      </c>
      <c r="U18" s="10"/>
      <c r="V18" s="14" t="str">
        <f aca="true">IF(AND(L18="Listed",N18&lt;&gt;"",P18=""),IF(TODAY()-N18&gt;=Settings!$B$6,"STALE",""),"")</f>
        <v/>
      </c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1"/>
      <c r="J19" s="10"/>
      <c r="K19" s="10"/>
      <c r="L19" s="10"/>
      <c r="M19" s="12"/>
      <c r="N19" s="12"/>
      <c r="O19" s="11"/>
      <c r="P19" s="12"/>
      <c r="Q19" s="11"/>
      <c r="R19" s="13" t="str">
        <f aca="false">IF(Q19="","",ROUND(Q19*IFERROR(INDEX(Settings!$B$2:$B$4,MATCH(K19,Settings!$A$2:$A$4,0)),0)+IFERROR(INDEX(Settings!$C$2:$C$4,MATCH(K19,Settings!$A$2:$A$4,0)),0),2))</f>
        <v/>
      </c>
      <c r="S19" s="13" t="str">
        <f aca="false">IF(Q19="","",Q19-R19-N(I19))</f>
        <v/>
      </c>
      <c r="T19" s="14" t="str">
        <f aca="true">IF(N19="","",IF(P19&lt;&gt;"",P19-N19,TODAY()-N19))</f>
        <v/>
      </c>
      <c r="U19" s="10"/>
      <c r="V19" s="14" t="str">
        <f aca="true">IF(AND(L19="Listed",N19&lt;&gt;"",P19=""),IF(TODAY()-N19&gt;=Settings!$B$6,"STALE",""),"")</f>
        <v/>
      </c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1"/>
      <c r="J20" s="10"/>
      <c r="K20" s="10"/>
      <c r="L20" s="10"/>
      <c r="M20" s="12"/>
      <c r="N20" s="12"/>
      <c r="O20" s="11"/>
      <c r="P20" s="12"/>
      <c r="Q20" s="11"/>
      <c r="R20" s="13" t="str">
        <f aca="false">IF(Q20="","",ROUND(Q20*IFERROR(INDEX(Settings!$B$2:$B$4,MATCH(K20,Settings!$A$2:$A$4,0)),0)+IFERROR(INDEX(Settings!$C$2:$C$4,MATCH(K20,Settings!$A$2:$A$4,0)),0),2))</f>
        <v/>
      </c>
      <c r="S20" s="13" t="str">
        <f aca="false">IF(Q20="","",Q20-R20-N(I20))</f>
        <v/>
      </c>
      <c r="T20" s="14" t="str">
        <f aca="true">IF(N20="","",IF(P20&lt;&gt;"",P20-N20,TODAY()-N20))</f>
        <v/>
      </c>
      <c r="U20" s="10"/>
      <c r="V20" s="14" t="str">
        <f aca="true">IF(AND(L20="Listed",N20&lt;&gt;"",P20=""),IF(TODAY()-N20&gt;=Settings!$B$6,"STALE",""),"")</f>
        <v/>
      </c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1"/>
      <c r="J21" s="10"/>
      <c r="K21" s="10"/>
      <c r="L21" s="10"/>
      <c r="M21" s="12"/>
      <c r="N21" s="12"/>
      <c r="O21" s="11"/>
      <c r="P21" s="12"/>
      <c r="Q21" s="11"/>
      <c r="R21" s="13" t="str">
        <f aca="false">IF(Q21="","",ROUND(Q21*IFERROR(INDEX(Settings!$B$2:$B$4,MATCH(K21,Settings!$A$2:$A$4,0)),0)+IFERROR(INDEX(Settings!$C$2:$C$4,MATCH(K21,Settings!$A$2:$A$4,0)),0),2))</f>
        <v/>
      </c>
      <c r="S21" s="13" t="str">
        <f aca="false">IF(Q21="","",Q21-R21-N(I21))</f>
        <v/>
      </c>
      <c r="T21" s="14" t="str">
        <f aca="true">IF(N21="","",IF(P21&lt;&gt;"",P21-N21,TODAY()-N21))</f>
        <v/>
      </c>
      <c r="U21" s="10"/>
      <c r="V21" s="14" t="str">
        <f aca="true">IF(AND(L21="Listed",N21&lt;&gt;"",P21=""),IF(TODAY()-N21&gt;=Settings!$B$6,"STALE",""),"")</f>
        <v/>
      </c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1"/>
      <c r="J22" s="10"/>
      <c r="K22" s="10"/>
      <c r="L22" s="10"/>
      <c r="M22" s="12"/>
      <c r="N22" s="12"/>
      <c r="O22" s="11"/>
      <c r="P22" s="12"/>
      <c r="Q22" s="11"/>
      <c r="R22" s="13" t="str">
        <f aca="false">IF(Q22="","",ROUND(Q22*IFERROR(INDEX(Settings!$B$2:$B$4,MATCH(K22,Settings!$A$2:$A$4,0)),0)+IFERROR(INDEX(Settings!$C$2:$C$4,MATCH(K22,Settings!$A$2:$A$4,0)),0),2))</f>
        <v/>
      </c>
      <c r="S22" s="13" t="str">
        <f aca="false">IF(Q22="","",Q22-R22-N(I22))</f>
        <v/>
      </c>
      <c r="T22" s="14" t="str">
        <f aca="true">IF(N22="","",IF(P22&lt;&gt;"",P22-N22,TODAY()-N22))</f>
        <v/>
      </c>
      <c r="U22" s="10"/>
      <c r="V22" s="14" t="str">
        <f aca="true">IF(AND(L22="Listed",N22&lt;&gt;"",P22=""),IF(TODAY()-N22&gt;=Settings!$B$6,"STALE",""),"")</f>
        <v/>
      </c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1"/>
      <c r="J23" s="10"/>
      <c r="K23" s="10"/>
      <c r="L23" s="10"/>
      <c r="M23" s="12"/>
      <c r="N23" s="12"/>
      <c r="O23" s="11"/>
      <c r="P23" s="12"/>
      <c r="Q23" s="11"/>
      <c r="R23" s="13" t="str">
        <f aca="false">IF(Q23="","",ROUND(Q23*IFERROR(INDEX(Settings!$B$2:$B$4,MATCH(K23,Settings!$A$2:$A$4,0)),0)+IFERROR(INDEX(Settings!$C$2:$C$4,MATCH(K23,Settings!$A$2:$A$4,0)),0),2))</f>
        <v/>
      </c>
      <c r="S23" s="13" t="str">
        <f aca="false">IF(Q23="","",Q23-R23-N(I23))</f>
        <v/>
      </c>
      <c r="T23" s="14" t="str">
        <f aca="true">IF(N23="","",IF(P23&lt;&gt;"",P23-N23,TODAY()-N23))</f>
        <v/>
      </c>
      <c r="U23" s="10"/>
      <c r="V23" s="14" t="str">
        <f aca="true">IF(AND(L23="Listed",N23&lt;&gt;"",P23=""),IF(TODAY()-N23&gt;=Settings!$B$6,"STALE",""),"")</f>
        <v/>
      </c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1"/>
      <c r="J24" s="10"/>
      <c r="K24" s="10"/>
      <c r="L24" s="10"/>
      <c r="M24" s="12"/>
      <c r="N24" s="12"/>
      <c r="O24" s="11"/>
      <c r="P24" s="12"/>
      <c r="Q24" s="11"/>
      <c r="R24" s="13" t="str">
        <f aca="false">IF(Q24="","",ROUND(Q24*IFERROR(INDEX(Settings!$B$2:$B$4,MATCH(K24,Settings!$A$2:$A$4,0)),0)+IFERROR(INDEX(Settings!$C$2:$C$4,MATCH(K24,Settings!$A$2:$A$4,0)),0),2))</f>
        <v/>
      </c>
      <c r="S24" s="13" t="str">
        <f aca="false">IF(Q24="","",Q24-R24-N(I24))</f>
        <v/>
      </c>
      <c r="T24" s="14" t="str">
        <f aca="true">IF(N24="","",IF(P24&lt;&gt;"",P24-N24,TODAY()-N24))</f>
        <v/>
      </c>
      <c r="U24" s="10"/>
      <c r="V24" s="14" t="str">
        <f aca="true">IF(AND(L24="Listed",N24&lt;&gt;"",P24=""),IF(TODAY()-N24&gt;=Settings!$B$6,"STALE",""),"")</f>
        <v/>
      </c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1"/>
      <c r="J25" s="10"/>
      <c r="K25" s="10"/>
      <c r="L25" s="10"/>
      <c r="M25" s="12"/>
      <c r="N25" s="12"/>
      <c r="O25" s="11"/>
      <c r="P25" s="12"/>
      <c r="Q25" s="11"/>
      <c r="R25" s="13" t="str">
        <f aca="false">IF(Q25="","",ROUND(Q25*IFERROR(INDEX(Settings!$B$2:$B$4,MATCH(K25,Settings!$A$2:$A$4,0)),0)+IFERROR(INDEX(Settings!$C$2:$C$4,MATCH(K25,Settings!$A$2:$A$4,0)),0),2))</f>
        <v/>
      </c>
      <c r="S25" s="13" t="str">
        <f aca="false">IF(Q25="","",Q25-R25-N(I25))</f>
        <v/>
      </c>
      <c r="T25" s="14" t="str">
        <f aca="true">IF(N25="","",IF(P25&lt;&gt;"",P25-N25,TODAY()-N25))</f>
        <v/>
      </c>
      <c r="U25" s="10"/>
      <c r="V25" s="14" t="str">
        <f aca="true">IF(AND(L25="Listed",N25&lt;&gt;"",P25=""),IF(TODAY()-N25&gt;=Settings!$B$6,"STALE",""),"")</f>
        <v/>
      </c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1"/>
      <c r="J26" s="10"/>
      <c r="K26" s="10"/>
      <c r="L26" s="10"/>
      <c r="M26" s="12"/>
      <c r="N26" s="12"/>
      <c r="O26" s="11"/>
      <c r="P26" s="12"/>
      <c r="Q26" s="11"/>
      <c r="R26" s="13" t="str">
        <f aca="false">IF(Q26="","",ROUND(Q26*IFERROR(INDEX(Settings!$B$2:$B$4,MATCH(K26,Settings!$A$2:$A$4,0)),0)+IFERROR(INDEX(Settings!$C$2:$C$4,MATCH(K26,Settings!$A$2:$A$4,0)),0),2))</f>
        <v/>
      </c>
      <c r="S26" s="13" t="str">
        <f aca="false">IF(Q26="","",Q26-R26-N(I26))</f>
        <v/>
      </c>
      <c r="T26" s="14" t="str">
        <f aca="true">IF(N26="","",IF(P26&lt;&gt;"",P26-N26,TODAY()-N26))</f>
        <v/>
      </c>
      <c r="U26" s="10"/>
      <c r="V26" s="14" t="str">
        <f aca="true">IF(AND(L26="Listed",N26&lt;&gt;"",P26=""),IF(TODAY()-N26&gt;=Settings!$B$6,"STALE",""),"")</f>
        <v/>
      </c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1"/>
      <c r="J27" s="10"/>
      <c r="K27" s="10"/>
      <c r="L27" s="10"/>
      <c r="M27" s="12"/>
      <c r="N27" s="12"/>
      <c r="O27" s="11"/>
      <c r="P27" s="12"/>
      <c r="Q27" s="11"/>
      <c r="R27" s="13" t="str">
        <f aca="false">IF(Q27="","",ROUND(Q27*IFERROR(INDEX(Settings!$B$2:$B$4,MATCH(K27,Settings!$A$2:$A$4,0)),0)+IFERROR(INDEX(Settings!$C$2:$C$4,MATCH(K27,Settings!$A$2:$A$4,0)),0),2))</f>
        <v/>
      </c>
      <c r="S27" s="13" t="str">
        <f aca="false">IF(Q27="","",Q27-R27-N(I27))</f>
        <v/>
      </c>
      <c r="T27" s="14" t="str">
        <f aca="true">IF(N27="","",IF(P27&lt;&gt;"",P27-N27,TODAY()-N27))</f>
        <v/>
      </c>
      <c r="U27" s="10"/>
      <c r="V27" s="14" t="str">
        <f aca="true">IF(AND(L27="Listed",N27&lt;&gt;"",P27=""),IF(TODAY()-N27&gt;=Settings!$B$6,"STALE",""),"")</f>
        <v/>
      </c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1"/>
      <c r="J28" s="10"/>
      <c r="K28" s="10"/>
      <c r="L28" s="10"/>
      <c r="M28" s="12"/>
      <c r="N28" s="12"/>
      <c r="O28" s="11"/>
      <c r="P28" s="12"/>
      <c r="Q28" s="11"/>
      <c r="R28" s="13" t="str">
        <f aca="false">IF(Q28="","",ROUND(Q28*IFERROR(INDEX(Settings!$B$2:$B$4,MATCH(K28,Settings!$A$2:$A$4,0)),0)+IFERROR(INDEX(Settings!$C$2:$C$4,MATCH(K28,Settings!$A$2:$A$4,0)),0),2))</f>
        <v/>
      </c>
      <c r="S28" s="13" t="str">
        <f aca="false">IF(Q28="","",Q28-R28-N(I28))</f>
        <v/>
      </c>
      <c r="T28" s="14" t="str">
        <f aca="true">IF(N28="","",IF(P28&lt;&gt;"",P28-N28,TODAY()-N28))</f>
        <v/>
      </c>
      <c r="U28" s="10"/>
      <c r="V28" s="14" t="str">
        <f aca="true">IF(AND(L28="Listed",N28&lt;&gt;"",P28=""),IF(TODAY()-N28&gt;=Settings!$B$6,"STALE",""),"")</f>
        <v/>
      </c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1"/>
      <c r="J29" s="10"/>
      <c r="K29" s="10"/>
      <c r="L29" s="10"/>
      <c r="M29" s="12"/>
      <c r="N29" s="12"/>
      <c r="O29" s="11"/>
      <c r="P29" s="12"/>
      <c r="Q29" s="11"/>
      <c r="R29" s="13" t="str">
        <f aca="false">IF(Q29="","",ROUND(Q29*IFERROR(INDEX(Settings!$B$2:$B$4,MATCH(K29,Settings!$A$2:$A$4,0)),0)+IFERROR(INDEX(Settings!$C$2:$C$4,MATCH(K29,Settings!$A$2:$A$4,0)),0),2))</f>
        <v/>
      </c>
      <c r="S29" s="13" t="str">
        <f aca="false">IF(Q29="","",Q29-R29-N(I29))</f>
        <v/>
      </c>
      <c r="T29" s="14" t="str">
        <f aca="true">IF(N29="","",IF(P29&lt;&gt;"",P29-N29,TODAY()-N29))</f>
        <v/>
      </c>
      <c r="U29" s="10"/>
      <c r="V29" s="14" t="str">
        <f aca="true">IF(AND(L29="Listed",N29&lt;&gt;"",P29=""),IF(TODAY()-N29&gt;=Settings!$B$6,"STALE",""),"")</f>
        <v/>
      </c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1"/>
      <c r="J30" s="10"/>
      <c r="K30" s="10"/>
      <c r="L30" s="10"/>
      <c r="M30" s="12"/>
      <c r="N30" s="12"/>
      <c r="O30" s="11"/>
      <c r="P30" s="12"/>
      <c r="Q30" s="11"/>
      <c r="R30" s="13" t="str">
        <f aca="false">IF(Q30="","",ROUND(Q30*IFERROR(INDEX(Settings!$B$2:$B$4,MATCH(K30,Settings!$A$2:$A$4,0)),0)+IFERROR(INDEX(Settings!$C$2:$C$4,MATCH(K30,Settings!$A$2:$A$4,0)),0),2))</f>
        <v/>
      </c>
      <c r="S30" s="13" t="str">
        <f aca="false">IF(Q30="","",Q30-R30-N(I30))</f>
        <v/>
      </c>
      <c r="T30" s="14" t="str">
        <f aca="true">IF(N30="","",IF(P30&lt;&gt;"",P30-N30,TODAY()-N30))</f>
        <v/>
      </c>
      <c r="U30" s="10"/>
      <c r="V30" s="14" t="str">
        <f aca="true">IF(AND(L30="Listed",N30&lt;&gt;"",P30=""),IF(TODAY()-N30&gt;=Settings!$B$6,"STALE",""),"")</f>
        <v/>
      </c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1"/>
      <c r="J31" s="10"/>
      <c r="K31" s="10"/>
      <c r="L31" s="10"/>
      <c r="M31" s="12"/>
      <c r="N31" s="12"/>
      <c r="O31" s="11"/>
      <c r="P31" s="12"/>
      <c r="Q31" s="11"/>
      <c r="R31" s="13" t="str">
        <f aca="false">IF(Q31="","",ROUND(Q31*IFERROR(INDEX(Settings!$B$2:$B$4,MATCH(K31,Settings!$A$2:$A$4,0)),0)+IFERROR(INDEX(Settings!$C$2:$C$4,MATCH(K31,Settings!$A$2:$A$4,0)),0),2))</f>
        <v/>
      </c>
      <c r="S31" s="13" t="str">
        <f aca="false">IF(Q31="","",Q31-R31-N(I31))</f>
        <v/>
      </c>
      <c r="T31" s="14" t="str">
        <f aca="true">IF(N31="","",IF(P31&lt;&gt;"",P31-N31,TODAY()-N31))</f>
        <v/>
      </c>
      <c r="U31" s="10"/>
      <c r="V31" s="14" t="str">
        <f aca="true">IF(AND(L31="Listed",N31&lt;&gt;"",P31=""),IF(TODAY()-N31&gt;=Settings!$B$6,"STALE",""),"")</f>
        <v/>
      </c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1"/>
      <c r="J32" s="10"/>
      <c r="K32" s="10"/>
      <c r="L32" s="10"/>
      <c r="M32" s="12"/>
      <c r="N32" s="12"/>
      <c r="O32" s="11"/>
      <c r="P32" s="12"/>
      <c r="Q32" s="11"/>
      <c r="R32" s="13" t="str">
        <f aca="false">IF(Q32="","",ROUND(Q32*IFERROR(INDEX(Settings!$B$2:$B$4,MATCH(K32,Settings!$A$2:$A$4,0)),0)+IFERROR(INDEX(Settings!$C$2:$C$4,MATCH(K32,Settings!$A$2:$A$4,0)),0),2))</f>
        <v/>
      </c>
      <c r="S32" s="13" t="str">
        <f aca="false">IF(Q32="","",Q32-R32-N(I32))</f>
        <v/>
      </c>
      <c r="T32" s="14" t="str">
        <f aca="true">IF(N32="","",IF(P32&lt;&gt;"",P32-N32,TODAY()-N32))</f>
        <v/>
      </c>
      <c r="U32" s="10"/>
      <c r="V32" s="14" t="str">
        <f aca="true">IF(AND(L32="Listed",N32&lt;&gt;"",P32=""),IF(TODAY()-N32&gt;=Settings!$B$6,"STALE",""),"")</f>
        <v/>
      </c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1"/>
      <c r="J33" s="10"/>
      <c r="K33" s="10"/>
      <c r="L33" s="10"/>
      <c r="M33" s="12"/>
      <c r="N33" s="12"/>
      <c r="O33" s="11"/>
      <c r="P33" s="12"/>
      <c r="Q33" s="11"/>
      <c r="R33" s="13" t="str">
        <f aca="false">IF(Q33="","",ROUND(Q33*IFERROR(INDEX(Settings!$B$2:$B$4,MATCH(K33,Settings!$A$2:$A$4,0)),0)+IFERROR(INDEX(Settings!$C$2:$C$4,MATCH(K33,Settings!$A$2:$A$4,0)),0),2))</f>
        <v/>
      </c>
      <c r="S33" s="13" t="str">
        <f aca="false">IF(Q33="","",Q33-R33-N(I33))</f>
        <v/>
      </c>
      <c r="T33" s="14" t="str">
        <f aca="true">IF(N33="","",IF(P33&lt;&gt;"",P33-N33,TODAY()-N33))</f>
        <v/>
      </c>
      <c r="U33" s="10"/>
      <c r="V33" s="14" t="str">
        <f aca="true">IF(AND(L33="Listed",N33&lt;&gt;"",P33=""),IF(TODAY()-N33&gt;=Settings!$B$6,"STALE",""),"")</f>
        <v/>
      </c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1"/>
      <c r="J34" s="10"/>
      <c r="K34" s="10"/>
      <c r="L34" s="10"/>
      <c r="M34" s="12"/>
      <c r="N34" s="12"/>
      <c r="O34" s="11"/>
      <c r="P34" s="12"/>
      <c r="Q34" s="11"/>
      <c r="R34" s="13" t="str">
        <f aca="false">IF(Q34="","",ROUND(Q34*IFERROR(INDEX(Settings!$B$2:$B$4,MATCH(K34,Settings!$A$2:$A$4,0)),0)+IFERROR(INDEX(Settings!$C$2:$C$4,MATCH(K34,Settings!$A$2:$A$4,0)),0),2))</f>
        <v/>
      </c>
      <c r="S34" s="13" t="str">
        <f aca="false">IF(Q34="","",Q34-R34-N(I34))</f>
        <v/>
      </c>
      <c r="T34" s="14" t="str">
        <f aca="true">IF(N34="","",IF(P34&lt;&gt;"",P34-N34,TODAY()-N34))</f>
        <v/>
      </c>
      <c r="U34" s="10"/>
      <c r="V34" s="14" t="str">
        <f aca="true">IF(AND(L34="Listed",N34&lt;&gt;"",P34=""),IF(TODAY()-N34&gt;=Settings!$B$6,"STALE",""),"")</f>
        <v/>
      </c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1"/>
      <c r="J35" s="10"/>
      <c r="K35" s="10"/>
      <c r="L35" s="10"/>
      <c r="M35" s="12"/>
      <c r="N35" s="12"/>
      <c r="O35" s="11"/>
      <c r="P35" s="12"/>
      <c r="Q35" s="11"/>
      <c r="R35" s="13" t="str">
        <f aca="false">IF(Q35="","",ROUND(Q35*IFERROR(INDEX(Settings!$B$2:$B$4,MATCH(K35,Settings!$A$2:$A$4,0)),0)+IFERROR(INDEX(Settings!$C$2:$C$4,MATCH(K35,Settings!$A$2:$A$4,0)),0),2))</f>
        <v/>
      </c>
      <c r="S35" s="13" t="str">
        <f aca="false">IF(Q35="","",Q35-R35-N(I35))</f>
        <v/>
      </c>
      <c r="T35" s="14" t="str">
        <f aca="true">IF(N35="","",IF(P35&lt;&gt;"",P35-N35,TODAY()-N35))</f>
        <v/>
      </c>
      <c r="U35" s="10"/>
      <c r="V35" s="14" t="str">
        <f aca="true">IF(AND(L35="Listed",N35&lt;&gt;"",P35=""),IF(TODAY()-N35&gt;=Settings!$B$6,"STALE",""),"")</f>
        <v/>
      </c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1"/>
      <c r="J36" s="10"/>
      <c r="K36" s="10"/>
      <c r="L36" s="10"/>
      <c r="M36" s="12"/>
      <c r="N36" s="12"/>
      <c r="O36" s="11"/>
      <c r="P36" s="12"/>
      <c r="Q36" s="11"/>
      <c r="R36" s="13" t="str">
        <f aca="false">IF(Q36="","",ROUND(Q36*IFERROR(INDEX(Settings!$B$2:$B$4,MATCH(K36,Settings!$A$2:$A$4,0)),0)+IFERROR(INDEX(Settings!$C$2:$C$4,MATCH(K36,Settings!$A$2:$A$4,0)),0),2))</f>
        <v/>
      </c>
      <c r="S36" s="13" t="str">
        <f aca="false">IF(Q36="","",Q36-R36-N(I36))</f>
        <v/>
      </c>
      <c r="T36" s="14" t="str">
        <f aca="true">IF(N36="","",IF(P36&lt;&gt;"",P36-N36,TODAY()-N36))</f>
        <v/>
      </c>
      <c r="U36" s="10"/>
      <c r="V36" s="14" t="str">
        <f aca="true">IF(AND(L36="Listed",N36&lt;&gt;"",P36=""),IF(TODAY()-N36&gt;=Settings!$B$6,"STALE",""),"")</f>
        <v/>
      </c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1"/>
      <c r="J37" s="10"/>
      <c r="K37" s="10"/>
      <c r="L37" s="10"/>
      <c r="M37" s="12"/>
      <c r="N37" s="12"/>
      <c r="O37" s="11"/>
      <c r="P37" s="12"/>
      <c r="Q37" s="11"/>
      <c r="R37" s="13" t="str">
        <f aca="false">IF(Q37="","",ROUND(Q37*IFERROR(INDEX(Settings!$B$2:$B$4,MATCH(K37,Settings!$A$2:$A$4,0)),0)+IFERROR(INDEX(Settings!$C$2:$C$4,MATCH(K37,Settings!$A$2:$A$4,0)),0),2))</f>
        <v/>
      </c>
      <c r="S37" s="13" t="str">
        <f aca="false">IF(Q37="","",Q37-R37-N(I37))</f>
        <v/>
      </c>
      <c r="T37" s="14" t="str">
        <f aca="true">IF(N37="","",IF(P37&lt;&gt;"",P37-N37,TODAY()-N37))</f>
        <v/>
      </c>
      <c r="U37" s="10"/>
      <c r="V37" s="14" t="str">
        <f aca="true">IF(AND(L37="Listed",N37&lt;&gt;"",P37=""),IF(TODAY()-N37&gt;=Settings!$B$6,"STALE",""),"")</f>
        <v/>
      </c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1"/>
      <c r="J38" s="10"/>
      <c r="K38" s="10"/>
      <c r="L38" s="10"/>
      <c r="M38" s="12"/>
      <c r="N38" s="12"/>
      <c r="O38" s="11"/>
      <c r="P38" s="12"/>
      <c r="Q38" s="11"/>
      <c r="R38" s="13" t="str">
        <f aca="false">IF(Q38="","",ROUND(Q38*IFERROR(INDEX(Settings!$B$2:$B$4,MATCH(K38,Settings!$A$2:$A$4,0)),0)+IFERROR(INDEX(Settings!$C$2:$C$4,MATCH(K38,Settings!$A$2:$A$4,0)),0),2))</f>
        <v/>
      </c>
      <c r="S38" s="13" t="str">
        <f aca="false">IF(Q38="","",Q38-R38-N(I38))</f>
        <v/>
      </c>
      <c r="T38" s="14" t="str">
        <f aca="true">IF(N38="","",IF(P38&lt;&gt;"",P38-N38,TODAY()-N38))</f>
        <v/>
      </c>
      <c r="U38" s="10"/>
      <c r="V38" s="14" t="str">
        <f aca="true">IF(AND(L38="Listed",N38&lt;&gt;"",P38=""),IF(TODAY()-N38&gt;=Settings!$B$6,"STALE",""),"")</f>
        <v/>
      </c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1"/>
      <c r="J39" s="10"/>
      <c r="K39" s="10"/>
      <c r="L39" s="10"/>
      <c r="M39" s="12"/>
      <c r="N39" s="12"/>
      <c r="O39" s="11"/>
      <c r="P39" s="12"/>
      <c r="Q39" s="11"/>
      <c r="R39" s="13" t="str">
        <f aca="false">IF(Q39="","",ROUND(Q39*IFERROR(INDEX(Settings!$B$2:$B$4,MATCH(K39,Settings!$A$2:$A$4,0)),0)+IFERROR(INDEX(Settings!$C$2:$C$4,MATCH(K39,Settings!$A$2:$A$4,0)),0),2))</f>
        <v/>
      </c>
      <c r="S39" s="13" t="str">
        <f aca="false">IF(Q39="","",Q39-R39-N(I39))</f>
        <v/>
      </c>
      <c r="T39" s="14" t="str">
        <f aca="true">IF(N39="","",IF(P39&lt;&gt;"",P39-N39,TODAY()-N39))</f>
        <v/>
      </c>
      <c r="U39" s="10"/>
      <c r="V39" s="14" t="str">
        <f aca="true">IF(AND(L39="Listed",N39&lt;&gt;"",P39=""),IF(TODAY()-N39&gt;=Settings!$B$6,"STALE",""),"")</f>
        <v/>
      </c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1"/>
      <c r="J40" s="10"/>
      <c r="K40" s="10"/>
      <c r="L40" s="10"/>
      <c r="M40" s="12"/>
      <c r="N40" s="12"/>
      <c r="O40" s="11"/>
      <c r="P40" s="12"/>
      <c r="Q40" s="11"/>
      <c r="R40" s="13" t="str">
        <f aca="false">IF(Q40="","",ROUND(Q40*IFERROR(INDEX(Settings!$B$2:$B$4,MATCH(K40,Settings!$A$2:$A$4,0)),0)+IFERROR(INDEX(Settings!$C$2:$C$4,MATCH(K40,Settings!$A$2:$A$4,0)),0),2))</f>
        <v/>
      </c>
      <c r="S40" s="13" t="str">
        <f aca="false">IF(Q40="","",Q40-R40-N(I40))</f>
        <v/>
      </c>
      <c r="T40" s="14" t="str">
        <f aca="true">IF(N40="","",IF(P40&lt;&gt;"",P40-N40,TODAY()-N40))</f>
        <v/>
      </c>
      <c r="U40" s="10"/>
      <c r="V40" s="14" t="str">
        <f aca="true">IF(AND(L40="Listed",N40&lt;&gt;"",P40=""),IF(TODAY()-N40&gt;=Settings!$B$6,"STALE",""),"")</f>
        <v/>
      </c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1"/>
      <c r="J41" s="10"/>
      <c r="K41" s="10"/>
      <c r="L41" s="10"/>
      <c r="M41" s="12"/>
      <c r="N41" s="12"/>
      <c r="O41" s="11"/>
      <c r="P41" s="12"/>
      <c r="Q41" s="11"/>
      <c r="R41" s="13" t="str">
        <f aca="false">IF(Q41="","",ROUND(Q41*IFERROR(INDEX(Settings!$B$2:$B$4,MATCH(K41,Settings!$A$2:$A$4,0)),0)+IFERROR(INDEX(Settings!$C$2:$C$4,MATCH(K41,Settings!$A$2:$A$4,0)),0),2))</f>
        <v/>
      </c>
      <c r="S41" s="13" t="str">
        <f aca="false">IF(Q41="","",Q41-R41-N(I41))</f>
        <v/>
      </c>
      <c r="T41" s="14" t="str">
        <f aca="true">IF(N41="","",IF(P41&lt;&gt;"",P41-N41,TODAY()-N41))</f>
        <v/>
      </c>
      <c r="U41" s="10"/>
      <c r="V41" s="14" t="str">
        <f aca="true">IF(AND(L41="Listed",N41&lt;&gt;"",P41=""),IF(TODAY()-N41&gt;=Settings!$B$6,"STALE",""),"")</f>
        <v/>
      </c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1"/>
      <c r="J42" s="10"/>
      <c r="K42" s="10"/>
      <c r="L42" s="10"/>
      <c r="M42" s="12"/>
      <c r="N42" s="12"/>
      <c r="O42" s="11"/>
      <c r="P42" s="12"/>
      <c r="Q42" s="11"/>
      <c r="R42" s="13" t="str">
        <f aca="false">IF(Q42="","",ROUND(Q42*IFERROR(INDEX(Settings!$B$2:$B$4,MATCH(K42,Settings!$A$2:$A$4,0)),0)+IFERROR(INDEX(Settings!$C$2:$C$4,MATCH(K42,Settings!$A$2:$A$4,0)),0),2))</f>
        <v/>
      </c>
      <c r="S42" s="13" t="str">
        <f aca="false">IF(Q42="","",Q42-R42-N(I42))</f>
        <v/>
      </c>
      <c r="T42" s="14" t="str">
        <f aca="true">IF(N42="","",IF(P42&lt;&gt;"",P42-N42,TODAY()-N42))</f>
        <v/>
      </c>
      <c r="U42" s="10"/>
      <c r="V42" s="14" t="str">
        <f aca="true">IF(AND(L42="Listed",N42&lt;&gt;"",P42=""),IF(TODAY()-N42&gt;=Settings!$B$6,"STALE",""),"")</f>
        <v/>
      </c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1"/>
      <c r="J43" s="10"/>
      <c r="K43" s="10"/>
      <c r="L43" s="10"/>
      <c r="M43" s="12"/>
      <c r="N43" s="12"/>
      <c r="O43" s="11"/>
      <c r="P43" s="12"/>
      <c r="Q43" s="11"/>
      <c r="R43" s="13" t="str">
        <f aca="false">IF(Q43="","",ROUND(Q43*IFERROR(INDEX(Settings!$B$2:$B$4,MATCH(K43,Settings!$A$2:$A$4,0)),0)+IFERROR(INDEX(Settings!$C$2:$C$4,MATCH(K43,Settings!$A$2:$A$4,0)),0),2))</f>
        <v/>
      </c>
      <c r="S43" s="13" t="str">
        <f aca="false">IF(Q43="","",Q43-R43-N(I43))</f>
        <v/>
      </c>
      <c r="T43" s="14" t="str">
        <f aca="true">IF(N43="","",IF(P43&lt;&gt;"",P43-N43,TODAY()-N43))</f>
        <v/>
      </c>
      <c r="U43" s="10"/>
      <c r="V43" s="14" t="str">
        <f aca="true">IF(AND(L43="Listed",N43&lt;&gt;"",P43=""),IF(TODAY()-N43&gt;=Settings!$B$6,"STALE",""),"")</f>
        <v/>
      </c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1"/>
      <c r="J44" s="10"/>
      <c r="K44" s="10"/>
      <c r="L44" s="10"/>
      <c r="M44" s="12"/>
      <c r="N44" s="12"/>
      <c r="O44" s="11"/>
      <c r="P44" s="12"/>
      <c r="Q44" s="11"/>
      <c r="R44" s="13" t="str">
        <f aca="false">IF(Q44="","",ROUND(Q44*IFERROR(INDEX(Settings!$B$2:$B$4,MATCH(K44,Settings!$A$2:$A$4,0)),0)+IFERROR(INDEX(Settings!$C$2:$C$4,MATCH(K44,Settings!$A$2:$A$4,0)),0),2))</f>
        <v/>
      </c>
      <c r="S44" s="13" t="str">
        <f aca="false">IF(Q44="","",Q44-R44-N(I44))</f>
        <v/>
      </c>
      <c r="T44" s="14" t="str">
        <f aca="true">IF(N44="","",IF(P44&lt;&gt;"",P44-N44,TODAY()-N44))</f>
        <v/>
      </c>
      <c r="U44" s="10"/>
      <c r="V44" s="14" t="str">
        <f aca="true">IF(AND(L44="Listed",N44&lt;&gt;"",P44=""),IF(TODAY()-N44&gt;=Settings!$B$6,"STALE",""),"")</f>
        <v/>
      </c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1"/>
      <c r="J45" s="10"/>
      <c r="K45" s="10"/>
      <c r="L45" s="10"/>
      <c r="M45" s="12"/>
      <c r="N45" s="12"/>
      <c r="O45" s="11"/>
      <c r="P45" s="12"/>
      <c r="Q45" s="11"/>
      <c r="R45" s="13" t="str">
        <f aca="false">IF(Q45="","",ROUND(Q45*IFERROR(INDEX(Settings!$B$2:$B$4,MATCH(K45,Settings!$A$2:$A$4,0)),0)+IFERROR(INDEX(Settings!$C$2:$C$4,MATCH(K45,Settings!$A$2:$A$4,0)),0),2))</f>
        <v/>
      </c>
      <c r="S45" s="13" t="str">
        <f aca="false">IF(Q45="","",Q45-R45-N(I45))</f>
        <v/>
      </c>
      <c r="T45" s="14" t="str">
        <f aca="true">IF(N45="","",IF(P45&lt;&gt;"",P45-N45,TODAY()-N45))</f>
        <v/>
      </c>
      <c r="U45" s="10"/>
      <c r="V45" s="14" t="str">
        <f aca="true">IF(AND(L45="Listed",N45&lt;&gt;"",P45=""),IF(TODAY()-N45&gt;=Settings!$B$6,"STALE",""),"")</f>
        <v/>
      </c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1"/>
      <c r="J46" s="10"/>
      <c r="K46" s="10"/>
      <c r="L46" s="10"/>
      <c r="M46" s="12"/>
      <c r="N46" s="12"/>
      <c r="O46" s="11"/>
      <c r="P46" s="12"/>
      <c r="Q46" s="11"/>
      <c r="R46" s="13" t="str">
        <f aca="false">IF(Q46="","",ROUND(Q46*IFERROR(INDEX(Settings!$B$2:$B$4,MATCH(K46,Settings!$A$2:$A$4,0)),0)+IFERROR(INDEX(Settings!$C$2:$C$4,MATCH(K46,Settings!$A$2:$A$4,0)),0),2))</f>
        <v/>
      </c>
      <c r="S46" s="13" t="str">
        <f aca="false">IF(Q46="","",Q46-R46-N(I46))</f>
        <v/>
      </c>
      <c r="T46" s="14" t="str">
        <f aca="true">IF(N46="","",IF(P46&lt;&gt;"",P46-N46,TODAY()-N46))</f>
        <v/>
      </c>
      <c r="U46" s="10"/>
      <c r="V46" s="14" t="str">
        <f aca="true">IF(AND(L46="Listed",N46&lt;&gt;"",P46=""),IF(TODAY()-N46&gt;=Settings!$B$6,"STALE",""),"")</f>
        <v/>
      </c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1"/>
      <c r="J47" s="10"/>
      <c r="K47" s="10"/>
      <c r="L47" s="10"/>
      <c r="M47" s="12"/>
      <c r="N47" s="12"/>
      <c r="O47" s="11"/>
      <c r="P47" s="12"/>
      <c r="Q47" s="11"/>
      <c r="R47" s="13" t="str">
        <f aca="false">IF(Q47="","",ROUND(Q47*IFERROR(INDEX(Settings!$B$2:$B$4,MATCH(K47,Settings!$A$2:$A$4,0)),0)+IFERROR(INDEX(Settings!$C$2:$C$4,MATCH(K47,Settings!$A$2:$A$4,0)),0),2))</f>
        <v/>
      </c>
      <c r="S47" s="13" t="str">
        <f aca="false">IF(Q47="","",Q47-R47-N(I47))</f>
        <v/>
      </c>
      <c r="T47" s="14" t="str">
        <f aca="true">IF(N47="","",IF(P47&lt;&gt;"",P47-N47,TODAY()-N47))</f>
        <v/>
      </c>
      <c r="U47" s="10"/>
      <c r="V47" s="14" t="str">
        <f aca="true">IF(AND(L47="Listed",N47&lt;&gt;"",P47=""),IF(TODAY()-N47&gt;=Settings!$B$6,"STALE",""),"")</f>
        <v/>
      </c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1"/>
      <c r="J48" s="10"/>
      <c r="K48" s="10"/>
      <c r="L48" s="10"/>
      <c r="M48" s="12"/>
      <c r="N48" s="12"/>
      <c r="O48" s="11"/>
      <c r="P48" s="12"/>
      <c r="Q48" s="11"/>
      <c r="R48" s="13" t="str">
        <f aca="false">IF(Q48="","",ROUND(Q48*IFERROR(INDEX(Settings!$B$2:$B$4,MATCH(K48,Settings!$A$2:$A$4,0)),0)+IFERROR(INDEX(Settings!$C$2:$C$4,MATCH(K48,Settings!$A$2:$A$4,0)),0),2))</f>
        <v/>
      </c>
      <c r="S48" s="13" t="str">
        <f aca="false">IF(Q48="","",Q48-R48-N(I48))</f>
        <v/>
      </c>
      <c r="T48" s="14" t="str">
        <f aca="true">IF(N48="","",IF(P48&lt;&gt;"",P48-N48,TODAY()-N48))</f>
        <v/>
      </c>
      <c r="U48" s="10"/>
      <c r="V48" s="14" t="str">
        <f aca="true">IF(AND(L48="Listed",N48&lt;&gt;"",P48=""),IF(TODAY()-N48&gt;=Settings!$B$6,"STALE",""),"")</f>
        <v/>
      </c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1"/>
      <c r="J49" s="10"/>
      <c r="K49" s="10"/>
      <c r="L49" s="10"/>
      <c r="M49" s="12"/>
      <c r="N49" s="12"/>
      <c r="O49" s="11"/>
      <c r="P49" s="12"/>
      <c r="Q49" s="11"/>
      <c r="R49" s="13" t="str">
        <f aca="false">IF(Q49="","",ROUND(Q49*IFERROR(INDEX(Settings!$B$2:$B$4,MATCH(K49,Settings!$A$2:$A$4,0)),0)+IFERROR(INDEX(Settings!$C$2:$C$4,MATCH(K49,Settings!$A$2:$A$4,0)),0),2))</f>
        <v/>
      </c>
      <c r="S49" s="13" t="str">
        <f aca="false">IF(Q49="","",Q49-R49-N(I49))</f>
        <v/>
      </c>
      <c r="T49" s="14" t="str">
        <f aca="true">IF(N49="","",IF(P49&lt;&gt;"",P49-N49,TODAY()-N49))</f>
        <v/>
      </c>
      <c r="U49" s="10"/>
      <c r="V49" s="14" t="str">
        <f aca="true">IF(AND(L49="Listed",N49&lt;&gt;"",P49=""),IF(TODAY()-N49&gt;=Settings!$B$6,"STALE",""),"")</f>
        <v/>
      </c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1"/>
      <c r="J50" s="10"/>
      <c r="K50" s="10"/>
      <c r="L50" s="10"/>
      <c r="M50" s="12"/>
      <c r="N50" s="12"/>
      <c r="O50" s="11"/>
      <c r="P50" s="12"/>
      <c r="Q50" s="11"/>
      <c r="R50" s="13" t="str">
        <f aca="false">IF(Q50="","",ROUND(Q50*IFERROR(INDEX(Settings!$B$2:$B$4,MATCH(K50,Settings!$A$2:$A$4,0)),0)+IFERROR(INDEX(Settings!$C$2:$C$4,MATCH(K50,Settings!$A$2:$A$4,0)),0),2))</f>
        <v/>
      </c>
      <c r="S50" s="13" t="str">
        <f aca="false">IF(Q50="","",Q50-R50-N(I50))</f>
        <v/>
      </c>
      <c r="T50" s="14" t="str">
        <f aca="true">IF(N50="","",IF(P50&lt;&gt;"",P50-N50,TODAY()-N50))</f>
        <v/>
      </c>
      <c r="U50" s="10"/>
      <c r="V50" s="14" t="str">
        <f aca="true">IF(AND(L50="Listed",N50&lt;&gt;"",P50=""),IF(TODAY()-N50&gt;=Settings!$B$6,"STALE",""),"")</f>
        <v/>
      </c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1"/>
      <c r="J51" s="10"/>
      <c r="K51" s="10"/>
      <c r="L51" s="10"/>
      <c r="M51" s="12"/>
      <c r="N51" s="12"/>
      <c r="O51" s="11"/>
      <c r="P51" s="12"/>
      <c r="Q51" s="11"/>
      <c r="R51" s="13" t="str">
        <f aca="false">IF(Q51="","",ROUND(Q51*IFERROR(INDEX(Settings!$B$2:$B$4,MATCH(K51,Settings!$A$2:$A$4,0)),0)+IFERROR(INDEX(Settings!$C$2:$C$4,MATCH(K51,Settings!$A$2:$A$4,0)),0),2))</f>
        <v/>
      </c>
      <c r="S51" s="13" t="str">
        <f aca="false">IF(Q51="","",Q51-R51-N(I51))</f>
        <v/>
      </c>
      <c r="T51" s="14" t="str">
        <f aca="true">IF(N51="","",IF(P51&lt;&gt;"",P51-N51,TODAY()-N51))</f>
        <v/>
      </c>
      <c r="U51" s="10"/>
      <c r="V51" s="14" t="str">
        <f aca="true">IF(AND(L51="Listed",N51&lt;&gt;"",P51=""),IF(TODAY()-N51&gt;=Settings!$B$6,"STALE",""),"")</f>
        <v/>
      </c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1"/>
      <c r="J52" s="10"/>
      <c r="K52" s="10"/>
      <c r="L52" s="10"/>
      <c r="M52" s="12"/>
      <c r="N52" s="12"/>
      <c r="O52" s="11"/>
      <c r="P52" s="12"/>
      <c r="Q52" s="11"/>
      <c r="R52" s="13" t="str">
        <f aca="false">IF(Q52="","",ROUND(Q52*IFERROR(INDEX(Settings!$B$2:$B$4,MATCH(K52,Settings!$A$2:$A$4,0)),0)+IFERROR(INDEX(Settings!$C$2:$C$4,MATCH(K52,Settings!$A$2:$A$4,0)),0),2))</f>
        <v/>
      </c>
      <c r="S52" s="13" t="str">
        <f aca="false">IF(Q52="","",Q52-R52-N(I52))</f>
        <v/>
      </c>
      <c r="T52" s="14" t="str">
        <f aca="true">IF(N52="","",IF(P52&lt;&gt;"",P52-N52,TODAY()-N52))</f>
        <v/>
      </c>
      <c r="U52" s="10"/>
      <c r="V52" s="14" t="str">
        <f aca="true">IF(AND(L52="Listed",N52&lt;&gt;"",P52=""),IF(TODAY()-N52&gt;=Settings!$B$6,"STALE",""),"")</f>
        <v/>
      </c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1"/>
      <c r="J53" s="10"/>
      <c r="K53" s="10"/>
      <c r="L53" s="10"/>
      <c r="M53" s="12"/>
      <c r="N53" s="12"/>
      <c r="O53" s="11"/>
      <c r="P53" s="12"/>
      <c r="Q53" s="11"/>
      <c r="R53" s="13" t="str">
        <f aca="false">IF(Q53="","",ROUND(Q53*IFERROR(INDEX(Settings!$B$2:$B$4,MATCH(K53,Settings!$A$2:$A$4,0)),0)+IFERROR(INDEX(Settings!$C$2:$C$4,MATCH(K53,Settings!$A$2:$A$4,0)),0),2))</f>
        <v/>
      </c>
      <c r="S53" s="13" t="str">
        <f aca="false">IF(Q53="","",Q53-R53-N(I53))</f>
        <v/>
      </c>
      <c r="T53" s="14" t="str">
        <f aca="true">IF(N53="","",IF(P53&lt;&gt;"",P53-N53,TODAY()-N53))</f>
        <v/>
      </c>
      <c r="U53" s="10"/>
      <c r="V53" s="14" t="str">
        <f aca="true">IF(AND(L53="Listed",N53&lt;&gt;"",P53=""),IF(TODAY()-N53&gt;=Settings!$B$6,"STALE",""),"")</f>
        <v/>
      </c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1"/>
      <c r="J54" s="10"/>
      <c r="K54" s="10"/>
      <c r="L54" s="10"/>
      <c r="M54" s="12"/>
      <c r="N54" s="12"/>
      <c r="O54" s="11"/>
      <c r="P54" s="12"/>
      <c r="Q54" s="11"/>
      <c r="R54" s="13" t="str">
        <f aca="false">IF(Q54="","",ROUND(Q54*IFERROR(INDEX(Settings!$B$2:$B$4,MATCH(K54,Settings!$A$2:$A$4,0)),0)+IFERROR(INDEX(Settings!$C$2:$C$4,MATCH(K54,Settings!$A$2:$A$4,0)),0),2))</f>
        <v/>
      </c>
      <c r="S54" s="13" t="str">
        <f aca="false">IF(Q54="","",Q54-R54-N(I54))</f>
        <v/>
      </c>
      <c r="T54" s="14" t="str">
        <f aca="true">IF(N54="","",IF(P54&lt;&gt;"",P54-N54,TODAY()-N54))</f>
        <v/>
      </c>
      <c r="U54" s="10"/>
      <c r="V54" s="14" t="str">
        <f aca="true">IF(AND(L54="Listed",N54&lt;&gt;"",P54=""),IF(TODAY()-N54&gt;=Settings!$B$6,"STALE",""),"")</f>
        <v/>
      </c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1"/>
      <c r="J55" s="10"/>
      <c r="K55" s="10"/>
      <c r="L55" s="10"/>
      <c r="M55" s="12"/>
      <c r="N55" s="12"/>
      <c r="O55" s="11"/>
      <c r="P55" s="12"/>
      <c r="Q55" s="11"/>
      <c r="R55" s="13" t="str">
        <f aca="false">IF(Q55="","",ROUND(Q55*IFERROR(INDEX(Settings!$B$2:$B$4,MATCH(K55,Settings!$A$2:$A$4,0)),0)+IFERROR(INDEX(Settings!$C$2:$C$4,MATCH(K55,Settings!$A$2:$A$4,0)),0),2))</f>
        <v/>
      </c>
      <c r="S55" s="13" t="str">
        <f aca="false">IF(Q55="","",Q55-R55-N(I55))</f>
        <v/>
      </c>
      <c r="T55" s="14" t="str">
        <f aca="true">IF(N55="","",IF(P55&lt;&gt;"",P55-N55,TODAY()-N55))</f>
        <v/>
      </c>
      <c r="U55" s="10"/>
      <c r="V55" s="14" t="str">
        <f aca="true">IF(AND(L55="Listed",N55&lt;&gt;"",P55=""),IF(TODAY()-N55&gt;=Settings!$B$6,"STALE",""),"")</f>
        <v/>
      </c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1"/>
      <c r="J56" s="10"/>
      <c r="K56" s="10"/>
      <c r="L56" s="10"/>
      <c r="M56" s="12"/>
      <c r="N56" s="12"/>
      <c r="O56" s="11"/>
      <c r="P56" s="12"/>
      <c r="Q56" s="11"/>
      <c r="R56" s="13" t="str">
        <f aca="false">IF(Q56="","",ROUND(Q56*IFERROR(INDEX(Settings!$B$2:$B$4,MATCH(K56,Settings!$A$2:$A$4,0)),0)+IFERROR(INDEX(Settings!$C$2:$C$4,MATCH(K56,Settings!$A$2:$A$4,0)),0),2))</f>
        <v/>
      </c>
      <c r="S56" s="13" t="str">
        <f aca="false">IF(Q56="","",Q56-R56-N(I56))</f>
        <v/>
      </c>
      <c r="T56" s="14" t="str">
        <f aca="true">IF(N56="","",IF(P56&lt;&gt;"",P56-N56,TODAY()-N56))</f>
        <v/>
      </c>
      <c r="U56" s="10"/>
      <c r="V56" s="14" t="str">
        <f aca="true">IF(AND(L56="Listed",N56&lt;&gt;"",P56=""),IF(TODAY()-N56&gt;=Settings!$B$6,"STALE",""),"")</f>
        <v/>
      </c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1"/>
      <c r="J57" s="10"/>
      <c r="K57" s="10"/>
      <c r="L57" s="10"/>
      <c r="M57" s="12"/>
      <c r="N57" s="12"/>
      <c r="O57" s="11"/>
      <c r="P57" s="12"/>
      <c r="Q57" s="11"/>
      <c r="R57" s="13" t="str">
        <f aca="false">IF(Q57="","",ROUND(Q57*IFERROR(INDEX(Settings!$B$2:$B$4,MATCH(K57,Settings!$A$2:$A$4,0)),0)+IFERROR(INDEX(Settings!$C$2:$C$4,MATCH(K57,Settings!$A$2:$A$4,0)),0),2))</f>
        <v/>
      </c>
      <c r="S57" s="13" t="str">
        <f aca="false">IF(Q57="","",Q57-R57-N(I57))</f>
        <v/>
      </c>
      <c r="T57" s="14" t="str">
        <f aca="true">IF(N57="","",IF(P57&lt;&gt;"",P57-N57,TODAY()-N57))</f>
        <v/>
      </c>
      <c r="U57" s="10"/>
      <c r="V57" s="14" t="str">
        <f aca="true">IF(AND(L57="Listed",N57&lt;&gt;"",P57=""),IF(TODAY()-N57&gt;=Settings!$B$6,"STALE",""),"")</f>
        <v/>
      </c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1"/>
      <c r="J58" s="10"/>
      <c r="K58" s="10"/>
      <c r="L58" s="10"/>
      <c r="M58" s="12"/>
      <c r="N58" s="12"/>
      <c r="O58" s="11"/>
      <c r="P58" s="12"/>
      <c r="Q58" s="11"/>
      <c r="R58" s="13" t="str">
        <f aca="false">IF(Q58="","",ROUND(Q58*IFERROR(INDEX(Settings!$B$2:$B$4,MATCH(K58,Settings!$A$2:$A$4,0)),0)+IFERROR(INDEX(Settings!$C$2:$C$4,MATCH(K58,Settings!$A$2:$A$4,0)),0),2))</f>
        <v/>
      </c>
      <c r="S58" s="13" t="str">
        <f aca="false">IF(Q58="","",Q58-R58-N(I58))</f>
        <v/>
      </c>
      <c r="T58" s="14" t="str">
        <f aca="true">IF(N58="","",IF(P58&lt;&gt;"",P58-N58,TODAY()-N58))</f>
        <v/>
      </c>
      <c r="U58" s="10"/>
      <c r="V58" s="14" t="str">
        <f aca="true">IF(AND(L58="Listed",N58&lt;&gt;"",P58=""),IF(TODAY()-N58&gt;=Settings!$B$6,"STALE",""),"")</f>
        <v/>
      </c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1"/>
      <c r="J59" s="10"/>
      <c r="K59" s="10"/>
      <c r="L59" s="10"/>
      <c r="M59" s="12"/>
      <c r="N59" s="12"/>
      <c r="O59" s="11"/>
      <c r="P59" s="12"/>
      <c r="Q59" s="11"/>
      <c r="R59" s="13" t="str">
        <f aca="false">IF(Q59="","",ROUND(Q59*IFERROR(INDEX(Settings!$B$2:$B$4,MATCH(K59,Settings!$A$2:$A$4,0)),0)+IFERROR(INDEX(Settings!$C$2:$C$4,MATCH(K59,Settings!$A$2:$A$4,0)),0),2))</f>
        <v/>
      </c>
      <c r="S59" s="13" t="str">
        <f aca="false">IF(Q59="","",Q59-R59-N(I59))</f>
        <v/>
      </c>
      <c r="T59" s="14" t="str">
        <f aca="true">IF(N59="","",IF(P59&lt;&gt;"",P59-N59,TODAY()-N59))</f>
        <v/>
      </c>
      <c r="U59" s="10"/>
      <c r="V59" s="14" t="str">
        <f aca="true">IF(AND(L59="Listed",N59&lt;&gt;"",P59=""),IF(TODAY()-N59&gt;=Settings!$B$6,"STALE",""),"")</f>
        <v/>
      </c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1"/>
      <c r="J60" s="10"/>
      <c r="K60" s="10"/>
      <c r="L60" s="10"/>
      <c r="M60" s="12"/>
      <c r="N60" s="12"/>
      <c r="O60" s="11"/>
      <c r="P60" s="12"/>
      <c r="Q60" s="11"/>
      <c r="R60" s="13" t="str">
        <f aca="false">IF(Q60="","",ROUND(Q60*IFERROR(INDEX(Settings!$B$2:$B$4,MATCH(K60,Settings!$A$2:$A$4,0)),0)+IFERROR(INDEX(Settings!$C$2:$C$4,MATCH(K60,Settings!$A$2:$A$4,0)),0),2))</f>
        <v/>
      </c>
      <c r="S60" s="13" t="str">
        <f aca="false">IF(Q60="","",Q60-R60-N(I60))</f>
        <v/>
      </c>
      <c r="T60" s="14" t="str">
        <f aca="true">IF(N60="","",IF(P60&lt;&gt;"",P60-N60,TODAY()-N60))</f>
        <v/>
      </c>
      <c r="U60" s="10"/>
      <c r="V60" s="14" t="str">
        <f aca="true">IF(AND(L60="Listed",N60&lt;&gt;"",P60=""),IF(TODAY()-N60&gt;=Settings!$B$6,"STALE",""),"")</f>
        <v/>
      </c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1"/>
      <c r="J61" s="10"/>
      <c r="K61" s="10"/>
      <c r="L61" s="10"/>
      <c r="M61" s="12"/>
      <c r="N61" s="12"/>
      <c r="O61" s="11"/>
      <c r="P61" s="12"/>
      <c r="Q61" s="11"/>
      <c r="R61" s="13" t="str">
        <f aca="false">IF(Q61="","",ROUND(Q61*IFERROR(INDEX(Settings!$B$2:$B$4,MATCH(K61,Settings!$A$2:$A$4,0)),0)+IFERROR(INDEX(Settings!$C$2:$C$4,MATCH(K61,Settings!$A$2:$A$4,0)),0),2))</f>
        <v/>
      </c>
      <c r="S61" s="13" t="str">
        <f aca="false">IF(Q61="","",Q61-R61-N(I61))</f>
        <v/>
      </c>
      <c r="T61" s="14" t="str">
        <f aca="true">IF(N61="","",IF(P61&lt;&gt;"",P61-N61,TODAY()-N61))</f>
        <v/>
      </c>
      <c r="U61" s="10"/>
      <c r="V61" s="14" t="str">
        <f aca="true">IF(AND(L61="Listed",N61&lt;&gt;"",P61=""),IF(TODAY()-N61&gt;=Settings!$B$6,"STALE",""),"")</f>
        <v/>
      </c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1"/>
      <c r="J62" s="10"/>
      <c r="K62" s="10"/>
      <c r="L62" s="10"/>
      <c r="M62" s="12"/>
      <c r="N62" s="12"/>
      <c r="O62" s="11"/>
      <c r="P62" s="12"/>
      <c r="Q62" s="11"/>
      <c r="R62" s="13" t="str">
        <f aca="false">IF(Q62="","",ROUND(Q62*IFERROR(INDEX(Settings!$B$2:$B$4,MATCH(K62,Settings!$A$2:$A$4,0)),0)+IFERROR(INDEX(Settings!$C$2:$C$4,MATCH(K62,Settings!$A$2:$A$4,0)),0),2))</f>
        <v/>
      </c>
      <c r="S62" s="13" t="str">
        <f aca="false">IF(Q62="","",Q62-R62-N(I62))</f>
        <v/>
      </c>
      <c r="T62" s="14" t="str">
        <f aca="true">IF(N62="","",IF(P62&lt;&gt;"",P62-N62,TODAY()-N62))</f>
        <v/>
      </c>
      <c r="U62" s="10"/>
      <c r="V62" s="14" t="str">
        <f aca="true">IF(AND(L62="Listed",N62&lt;&gt;"",P62=""),IF(TODAY()-N62&gt;=Settings!$B$6,"STALE",""),"")</f>
        <v/>
      </c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1"/>
      <c r="J63" s="10"/>
      <c r="K63" s="10"/>
      <c r="L63" s="10"/>
      <c r="M63" s="12"/>
      <c r="N63" s="12"/>
      <c r="O63" s="11"/>
      <c r="P63" s="12"/>
      <c r="Q63" s="11"/>
      <c r="R63" s="13" t="str">
        <f aca="false">IF(Q63="","",ROUND(Q63*IFERROR(INDEX(Settings!$B$2:$B$4,MATCH(K63,Settings!$A$2:$A$4,0)),0)+IFERROR(INDEX(Settings!$C$2:$C$4,MATCH(K63,Settings!$A$2:$A$4,0)),0),2))</f>
        <v/>
      </c>
      <c r="S63" s="13" t="str">
        <f aca="false">IF(Q63="","",Q63-R63-N(I63))</f>
        <v/>
      </c>
      <c r="T63" s="14" t="str">
        <f aca="true">IF(N63="","",IF(P63&lt;&gt;"",P63-N63,TODAY()-N63))</f>
        <v/>
      </c>
      <c r="U63" s="10"/>
      <c r="V63" s="14" t="str">
        <f aca="true">IF(AND(L63="Listed",N63&lt;&gt;"",P63=""),IF(TODAY()-N63&gt;=Settings!$B$6,"STALE",""),"")</f>
        <v/>
      </c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1"/>
      <c r="J64" s="10"/>
      <c r="K64" s="10"/>
      <c r="L64" s="10"/>
      <c r="M64" s="12"/>
      <c r="N64" s="12"/>
      <c r="O64" s="11"/>
      <c r="P64" s="12"/>
      <c r="Q64" s="11"/>
      <c r="R64" s="13" t="str">
        <f aca="false">IF(Q64="","",ROUND(Q64*IFERROR(INDEX(Settings!$B$2:$B$4,MATCH(K64,Settings!$A$2:$A$4,0)),0)+IFERROR(INDEX(Settings!$C$2:$C$4,MATCH(K64,Settings!$A$2:$A$4,0)),0),2))</f>
        <v/>
      </c>
      <c r="S64" s="13" t="str">
        <f aca="false">IF(Q64="","",Q64-R64-N(I64))</f>
        <v/>
      </c>
      <c r="T64" s="14" t="str">
        <f aca="true">IF(N64="","",IF(P64&lt;&gt;"",P64-N64,TODAY()-N64))</f>
        <v/>
      </c>
      <c r="U64" s="10"/>
      <c r="V64" s="14" t="str">
        <f aca="true">IF(AND(L64="Listed",N64&lt;&gt;"",P64=""),IF(TODAY()-N64&gt;=Settings!$B$6,"STALE",""),"")</f>
        <v/>
      </c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1"/>
      <c r="J65" s="10"/>
      <c r="K65" s="10"/>
      <c r="L65" s="10"/>
      <c r="M65" s="12"/>
      <c r="N65" s="12"/>
      <c r="O65" s="11"/>
      <c r="P65" s="12"/>
      <c r="Q65" s="11"/>
      <c r="R65" s="13" t="str">
        <f aca="false">IF(Q65="","",ROUND(Q65*IFERROR(INDEX(Settings!$B$2:$B$4,MATCH(K65,Settings!$A$2:$A$4,0)),0)+IFERROR(INDEX(Settings!$C$2:$C$4,MATCH(K65,Settings!$A$2:$A$4,0)),0),2))</f>
        <v/>
      </c>
      <c r="S65" s="13" t="str">
        <f aca="false">IF(Q65="","",Q65-R65-N(I65))</f>
        <v/>
      </c>
      <c r="T65" s="14" t="str">
        <f aca="true">IF(N65="","",IF(P65&lt;&gt;"",P65-N65,TODAY()-N65))</f>
        <v/>
      </c>
      <c r="U65" s="10"/>
      <c r="V65" s="14" t="str">
        <f aca="true">IF(AND(L65="Listed",N65&lt;&gt;"",P65=""),IF(TODAY()-N65&gt;=Settings!$B$6,"STALE",""),"")</f>
        <v/>
      </c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1"/>
      <c r="J66" s="10"/>
      <c r="K66" s="10"/>
      <c r="L66" s="10"/>
      <c r="M66" s="12"/>
      <c r="N66" s="12"/>
      <c r="O66" s="11"/>
      <c r="P66" s="12"/>
      <c r="Q66" s="11"/>
      <c r="R66" s="13" t="str">
        <f aca="false">IF(Q66="","",ROUND(Q66*IFERROR(INDEX(Settings!$B$2:$B$4,MATCH(K66,Settings!$A$2:$A$4,0)),0)+IFERROR(INDEX(Settings!$C$2:$C$4,MATCH(K66,Settings!$A$2:$A$4,0)),0),2))</f>
        <v/>
      </c>
      <c r="S66" s="13" t="str">
        <f aca="false">IF(Q66="","",Q66-R66-N(I66))</f>
        <v/>
      </c>
      <c r="T66" s="14" t="str">
        <f aca="true">IF(N66="","",IF(P66&lt;&gt;"",P66-N66,TODAY()-N66))</f>
        <v/>
      </c>
      <c r="U66" s="10"/>
      <c r="V66" s="14" t="str">
        <f aca="true">IF(AND(L66="Listed",N66&lt;&gt;"",P66=""),IF(TODAY()-N66&gt;=Settings!$B$6,"STALE",""),"")</f>
        <v/>
      </c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1"/>
      <c r="J67" s="10"/>
      <c r="K67" s="10"/>
      <c r="L67" s="10"/>
      <c r="M67" s="12"/>
      <c r="N67" s="12"/>
      <c r="O67" s="11"/>
      <c r="P67" s="12"/>
      <c r="Q67" s="11"/>
      <c r="R67" s="13" t="str">
        <f aca="false">IF(Q67="","",ROUND(Q67*IFERROR(INDEX(Settings!$B$2:$B$4,MATCH(K67,Settings!$A$2:$A$4,0)),0)+IFERROR(INDEX(Settings!$C$2:$C$4,MATCH(K67,Settings!$A$2:$A$4,0)),0),2))</f>
        <v/>
      </c>
      <c r="S67" s="13" t="str">
        <f aca="false">IF(Q67="","",Q67-R67-N(I67))</f>
        <v/>
      </c>
      <c r="T67" s="14" t="str">
        <f aca="true">IF(N67="","",IF(P67&lt;&gt;"",P67-N67,TODAY()-N67))</f>
        <v/>
      </c>
      <c r="U67" s="10"/>
      <c r="V67" s="14" t="str">
        <f aca="true">IF(AND(L67="Listed",N67&lt;&gt;"",P67=""),IF(TODAY()-N67&gt;=Settings!$B$6,"STALE",""),"")</f>
        <v/>
      </c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1"/>
      <c r="J68" s="10"/>
      <c r="K68" s="10"/>
      <c r="L68" s="10"/>
      <c r="M68" s="12"/>
      <c r="N68" s="12"/>
      <c r="O68" s="11"/>
      <c r="P68" s="12"/>
      <c r="Q68" s="11"/>
      <c r="R68" s="13" t="str">
        <f aca="false">IF(Q68="","",ROUND(Q68*IFERROR(INDEX(Settings!$B$2:$B$4,MATCH(K68,Settings!$A$2:$A$4,0)),0)+IFERROR(INDEX(Settings!$C$2:$C$4,MATCH(K68,Settings!$A$2:$A$4,0)),0),2))</f>
        <v/>
      </c>
      <c r="S68" s="13" t="str">
        <f aca="false">IF(Q68="","",Q68-R68-N(I68))</f>
        <v/>
      </c>
      <c r="T68" s="14" t="str">
        <f aca="true">IF(N68="","",IF(P68&lt;&gt;"",P68-N68,TODAY()-N68))</f>
        <v/>
      </c>
      <c r="U68" s="10"/>
      <c r="V68" s="14" t="str">
        <f aca="true">IF(AND(L68="Listed",N68&lt;&gt;"",P68=""),IF(TODAY()-N68&gt;=Settings!$B$6,"STALE",""),"")</f>
        <v/>
      </c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1"/>
      <c r="J69" s="10"/>
      <c r="K69" s="10"/>
      <c r="L69" s="10"/>
      <c r="M69" s="12"/>
      <c r="N69" s="12"/>
      <c r="O69" s="11"/>
      <c r="P69" s="12"/>
      <c r="Q69" s="11"/>
      <c r="R69" s="13" t="str">
        <f aca="false">IF(Q69="","",ROUND(Q69*IFERROR(INDEX(Settings!$B$2:$B$4,MATCH(K69,Settings!$A$2:$A$4,0)),0)+IFERROR(INDEX(Settings!$C$2:$C$4,MATCH(K69,Settings!$A$2:$A$4,0)),0),2))</f>
        <v/>
      </c>
      <c r="S69" s="13" t="str">
        <f aca="false">IF(Q69="","",Q69-R69-N(I69))</f>
        <v/>
      </c>
      <c r="T69" s="14" t="str">
        <f aca="true">IF(N69="","",IF(P69&lt;&gt;"",P69-N69,TODAY()-N69))</f>
        <v/>
      </c>
      <c r="U69" s="10"/>
      <c r="V69" s="14" t="str">
        <f aca="true">IF(AND(L69="Listed",N69&lt;&gt;"",P69=""),IF(TODAY()-N69&gt;=Settings!$B$6,"STALE",""),"")</f>
        <v/>
      </c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1"/>
      <c r="J70" s="10"/>
      <c r="K70" s="10"/>
      <c r="L70" s="10"/>
      <c r="M70" s="12"/>
      <c r="N70" s="12"/>
      <c r="O70" s="11"/>
      <c r="P70" s="12"/>
      <c r="Q70" s="11"/>
      <c r="R70" s="13" t="str">
        <f aca="false">IF(Q70="","",ROUND(Q70*IFERROR(INDEX(Settings!$B$2:$B$4,MATCH(K70,Settings!$A$2:$A$4,0)),0)+IFERROR(INDEX(Settings!$C$2:$C$4,MATCH(K70,Settings!$A$2:$A$4,0)),0),2))</f>
        <v/>
      </c>
      <c r="S70" s="13" t="str">
        <f aca="false">IF(Q70="","",Q70-R70-N(I70))</f>
        <v/>
      </c>
      <c r="T70" s="14" t="str">
        <f aca="true">IF(N70="","",IF(P70&lt;&gt;"",P70-N70,TODAY()-N70))</f>
        <v/>
      </c>
      <c r="U70" s="10"/>
      <c r="V70" s="14" t="str">
        <f aca="true">IF(AND(L70="Listed",N70&lt;&gt;"",P70=""),IF(TODAY()-N70&gt;=Settings!$B$6,"STALE",""),"")</f>
        <v/>
      </c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1"/>
      <c r="J71" s="10"/>
      <c r="K71" s="10"/>
      <c r="L71" s="10"/>
      <c r="M71" s="12"/>
      <c r="N71" s="12"/>
      <c r="O71" s="11"/>
      <c r="P71" s="12"/>
      <c r="Q71" s="11"/>
      <c r="R71" s="13" t="str">
        <f aca="false">IF(Q71="","",ROUND(Q71*IFERROR(INDEX(Settings!$B$2:$B$4,MATCH(K71,Settings!$A$2:$A$4,0)),0)+IFERROR(INDEX(Settings!$C$2:$C$4,MATCH(K71,Settings!$A$2:$A$4,0)),0),2))</f>
        <v/>
      </c>
      <c r="S71" s="13" t="str">
        <f aca="false">IF(Q71="","",Q71-R71-N(I71))</f>
        <v/>
      </c>
      <c r="T71" s="14" t="str">
        <f aca="true">IF(N71="","",IF(P71&lt;&gt;"",P71-N71,TODAY()-N71))</f>
        <v/>
      </c>
      <c r="U71" s="10"/>
      <c r="V71" s="14" t="str">
        <f aca="true">IF(AND(L71="Listed",N71&lt;&gt;"",P71=""),IF(TODAY()-N71&gt;=Settings!$B$6,"STALE",""),"")</f>
        <v/>
      </c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1"/>
      <c r="J72" s="10"/>
      <c r="K72" s="10"/>
      <c r="L72" s="10"/>
      <c r="M72" s="12"/>
      <c r="N72" s="12"/>
      <c r="O72" s="11"/>
      <c r="P72" s="12"/>
      <c r="Q72" s="11"/>
      <c r="R72" s="13" t="str">
        <f aca="false">IF(Q72="","",ROUND(Q72*IFERROR(INDEX(Settings!$B$2:$B$4,MATCH(K72,Settings!$A$2:$A$4,0)),0)+IFERROR(INDEX(Settings!$C$2:$C$4,MATCH(K72,Settings!$A$2:$A$4,0)),0),2))</f>
        <v/>
      </c>
      <c r="S72" s="13" t="str">
        <f aca="false">IF(Q72="","",Q72-R72-N(I72))</f>
        <v/>
      </c>
      <c r="T72" s="14" t="str">
        <f aca="true">IF(N72="","",IF(P72&lt;&gt;"",P72-N72,TODAY()-N72))</f>
        <v/>
      </c>
      <c r="U72" s="10"/>
      <c r="V72" s="14" t="str">
        <f aca="true">IF(AND(L72="Listed",N72&lt;&gt;"",P72=""),IF(TODAY()-N72&gt;=Settings!$B$6,"STALE",""),"")</f>
        <v/>
      </c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1"/>
      <c r="J73" s="10"/>
      <c r="K73" s="10"/>
      <c r="L73" s="10"/>
      <c r="M73" s="12"/>
      <c r="N73" s="12"/>
      <c r="O73" s="11"/>
      <c r="P73" s="12"/>
      <c r="Q73" s="11"/>
      <c r="R73" s="13" t="str">
        <f aca="false">IF(Q73="","",ROUND(Q73*IFERROR(INDEX(Settings!$B$2:$B$4,MATCH(K73,Settings!$A$2:$A$4,0)),0)+IFERROR(INDEX(Settings!$C$2:$C$4,MATCH(K73,Settings!$A$2:$A$4,0)),0),2))</f>
        <v/>
      </c>
      <c r="S73" s="13" t="str">
        <f aca="false">IF(Q73="","",Q73-R73-N(I73))</f>
        <v/>
      </c>
      <c r="T73" s="14" t="str">
        <f aca="true">IF(N73="","",IF(P73&lt;&gt;"",P73-N73,TODAY()-N73))</f>
        <v/>
      </c>
      <c r="U73" s="10"/>
      <c r="V73" s="14" t="str">
        <f aca="true">IF(AND(L73="Listed",N73&lt;&gt;"",P73=""),IF(TODAY()-N73&gt;=Settings!$B$6,"STALE",""),"")</f>
        <v/>
      </c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1"/>
      <c r="J74" s="10"/>
      <c r="K74" s="10"/>
      <c r="L74" s="10"/>
      <c r="M74" s="12"/>
      <c r="N74" s="12"/>
      <c r="O74" s="11"/>
      <c r="P74" s="12"/>
      <c r="Q74" s="11"/>
      <c r="R74" s="13" t="str">
        <f aca="false">IF(Q74="","",ROUND(Q74*IFERROR(INDEX(Settings!$B$2:$B$4,MATCH(K74,Settings!$A$2:$A$4,0)),0)+IFERROR(INDEX(Settings!$C$2:$C$4,MATCH(K74,Settings!$A$2:$A$4,0)),0),2))</f>
        <v/>
      </c>
      <c r="S74" s="13" t="str">
        <f aca="false">IF(Q74="","",Q74-R74-N(I74))</f>
        <v/>
      </c>
      <c r="T74" s="14" t="str">
        <f aca="true">IF(N74="","",IF(P74&lt;&gt;"",P74-N74,TODAY()-N74))</f>
        <v/>
      </c>
      <c r="U74" s="10"/>
      <c r="V74" s="14" t="str">
        <f aca="true">IF(AND(L74="Listed",N74&lt;&gt;"",P74=""),IF(TODAY()-N74&gt;=Settings!$B$6,"STALE",""),"")</f>
        <v/>
      </c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1"/>
      <c r="J75" s="10"/>
      <c r="K75" s="10"/>
      <c r="L75" s="10"/>
      <c r="M75" s="12"/>
      <c r="N75" s="12"/>
      <c r="O75" s="11"/>
      <c r="P75" s="12"/>
      <c r="Q75" s="11"/>
      <c r="R75" s="13" t="str">
        <f aca="false">IF(Q75="","",ROUND(Q75*IFERROR(INDEX(Settings!$B$2:$B$4,MATCH(K75,Settings!$A$2:$A$4,0)),0)+IFERROR(INDEX(Settings!$C$2:$C$4,MATCH(K75,Settings!$A$2:$A$4,0)),0),2))</f>
        <v/>
      </c>
      <c r="S75" s="13" t="str">
        <f aca="false">IF(Q75="","",Q75-R75-N(I75))</f>
        <v/>
      </c>
      <c r="T75" s="14" t="str">
        <f aca="true">IF(N75="","",IF(P75&lt;&gt;"",P75-N75,TODAY()-N75))</f>
        <v/>
      </c>
      <c r="U75" s="10"/>
      <c r="V75" s="14" t="str">
        <f aca="true">IF(AND(L75="Listed",N75&lt;&gt;"",P75=""),IF(TODAY()-N75&gt;=Settings!$B$6,"STALE",""),"")</f>
        <v/>
      </c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1"/>
      <c r="J76" s="10"/>
      <c r="K76" s="10"/>
      <c r="L76" s="10"/>
      <c r="M76" s="12"/>
      <c r="N76" s="12"/>
      <c r="O76" s="11"/>
      <c r="P76" s="12"/>
      <c r="Q76" s="11"/>
      <c r="R76" s="13" t="str">
        <f aca="false">IF(Q76="","",ROUND(Q76*IFERROR(INDEX(Settings!$B$2:$B$4,MATCH(K76,Settings!$A$2:$A$4,0)),0)+IFERROR(INDEX(Settings!$C$2:$C$4,MATCH(K76,Settings!$A$2:$A$4,0)),0),2))</f>
        <v/>
      </c>
      <c r="S76" s="13" t="str">
        <f aca="false">IF(Q76="","",Q76-R76-N(I76))</f>
        <v/>
      </c>
      <c r="T76" s="14" t="str">
        <f aca="true">IF(N76="","",IF(P76&lt;&gt;"",P76-N76,TODAY()-N76))</f>
        <v/>
      </c>
      <c r="U76" s="10"/>
      <c r="V76" s="14" t="str">
        <f aca="true">IF(AND(L76="Listed",N76&lt;&gt;"",P76=""),IF(TODAY()-N76&gt;=Settings!$B$6,"STALE",""),"")</f>
        <v/>
      </c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1"/>
      <c r="J77" s="10"/>
      <c r="K77" s="10"/>
      <c r="L77" s="10"/>
      <c r="M77" s="12"/>
      <c r="N77" s="12"/>
      <c r="O77" s="11"/>
      <c r="P77" s="12"/>
      <c r="Q77" s="11"/>
      <c r="R77" s="13" t="str">
        <f aca="false">IF(Q77="","",ROUND(Q77*IFERROR(INDEX(Settings!$B$2:$B$4,MATCH(K77,Settings!$A$2:$A$4,0)),0)+IFERROR(INDEX(Settings!$C$2:$C$4,MATCH(K77,Settings!$A$2:$A$4,0)),0),2))</f>
        <v/>
      </c>
      <c r="S77" s="13" t="str">
        <f aca="false">IF(Q77="","",Q77-R77-N(I77))</f>
        <v/>
      </c>
      <c r="T77" s="14" t="str">
        <f aca="true">IF(N77="","",IF(P77&lt;&gt;"",P77-N77,TODAY()-N77))</f>
        <v/>
      </c>
      <c r="U77" s="10"/>
      <c r="V77" s="14" t="str">
        <f aca="true">IF(AND(L77="Listed",N77&lt;&gt;"",P77=""),IF(TODAY()-N77&gt;=Settings!$B$6,"STALE",""),"")</f>
        <v/>
      </c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1"/>
      <c r="J78" s="10"/>
      <c r="K78" s="10"/>
      <c r="L78" s="10"/>
      <c r="M78" s="12"/>
      <c r="N78" s="12"/>
      <c r="O78" s="11"/>
      <c r="P78" s="12"/>
      <c r="Q78" s="11"/>
      <c r="R78" s="13" t="str">
        <f aca="false">IF(Q78="","",ROUND(Q78*IFERROR(INDEX(Settings!$B$2:$B$4,MATCH(K78,Settings!$A$2:$A$4,0)),0)+IFERROR(INDEX(Settings!$C$2:$C$4,MATCH(K78,Settings!$A$2:$A$4,0)),0),2))</f>
        <v/>
      </c>
      <c r="S78" s="13" t="str">
        <f aca="false">IF(Q78="","",Q78-R78-N(I78))</f>
        <v/>
      </c>
      <c r="T78" s="14" t="str">
        <f aca="true">IF(N78="","",IF(P78&lt;&gt;"",P78-N78,TODAY()-N78))</f>
        <v/>
      </c>
      <c r="U78" s="10"/>
      <c r="V78" s="14" t="str">
        <f aca="true">IF(AND(L78="Listed",N78&lt;&gt;"",P78=""),IF(TODAY()-N78&gt;=Settings!$B$6,"STALE",""),"")</f>
        <v/>
      </c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1"/>
      <c r="J79" s="10"/>
      <c r="K79" s="10"/>
      <c r="L79" s="10"/>
      <c r="M79" s="12"/>
      <c r="N79" s="12"/>
      <c r="O79" s="11"/>
      <c r="P79" s="12"/>
      <c r="Q79" s="11"/>
      <c r="R79" s="13" t="str">
        <f aca="false">IF(Q79="","",ROUND(Q79*IFERROR(INDEX(Settings!$B$2:$B$4,MATCH(K79,Settings!$A$2:$A$4,0)),0)+IFERROR(INDEX(Settings!$C$2:$C$4,MATCH(K79,Settings!$A$2:$A$4,0)),0),2))</f>
        <v/>
      </c>
      <c r="S79" s="13" t="str">
        <f aca="false">IF(Q79="","",Q79-R79-N(I79))</f>
        <v/>
      </c>
      <c r="T79" s="14" t="str">
        <f aca="true">IF(N79="","",IF(P79&lt;&gt;"",P79-N79,TODAY()-N79))</f>
        <v/>
      </c>
      <c r="U79" s="10"/>
      <c r="V79" s="14" t="str">
        <f aca="true">IF(AND(L79="Listed",N79&lt;&gt;"",P79=""),IF(TODAY()-N79&gt;=Settings!$B$6,"STALE",""),"")</f>
        <v/>
      </c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1"/>
      <c r="J80" s="10"/>
      <c r="K80" s="10"/>
      <c r="L80" s="10"/>
      <c r="M80" s="12"/>
      <c r="N80" s="12"/>
      <c r="O80" s="11"/>
      <c r="P80" s="12"/>
      <c r="Q80" s="11"/>
      <c r="R80" s="13" t="str">
        <f aca="false">IF(Q80="","",ROUND(Q80*IFERROR(INDEX(Settings!$B$2:$B$4,MATCH(K80,Settings!$A$2:$A$4,0)),0)+IFERROR(INDEX(Settings!$C$2:$C$4,MATCH(K80,Settings!$A$2:$A$4,0)),0),2))</f>
        <v/>
      </c>
      <c r="S80" s="13" t="str">
        <f aca="false">IF(Q80="","",Q80-R80-N(I80))</f>
        <v/>
      </c>
      <c r="T80" s="14" t="str">
        <f aca="true">IF(N80="","",IF(P80&lt;&gt;"",P80-N80,TODAY()-N80))</f>
        <v/>
      </c>
      <c r="U80" s="10"/>
      <c r="V80" s="14" t="str">
        <f aca="true">IF(AND(L80="Listed",N80&lt;&gt;"",P80=""),IF(TODAY()-N80&gt;=Settings!$B$6,"STALE",""),"")</f>
        <v/>
      </c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1"/>
      <c r="J81" s="10"/>
      <c r="K81" s="10"/>
      <c r="L81" s="10"/>
      <c r="M81" s="12"/>
      <c r="N81" s="12"/>
      <c r="O81" s="11"/>
      <c r="P81" s="12"/>
      <c r="Q81" s="11"/>
      <c r="R81" s="13" t="str">
        <f aca="false">IF(Q81="","",ROUND(Q81*IFERROR(INDEX(Settings!$B$2:$B$4,MATCH(K81,Settings!$A$2:$A$4,0)),0)+IFERROR(INDEX(Settings!$C$2:$C$4,MATCH(K81,Settings!$A$2:$A$4,0)),0),2))</f>
        <v/>
      </c>
      <c r="S81" s="13" t="str">
        <f aca="false">IF(Q81="","",Q81-R81-N(I81))</f>
        <v/>
      </c>
      <c r="T81" s="14" t="str">
        <f aca="true">IF(N81="","",IF(P81&lt;&gt;"",P81-N81,TODAY()-N81))</f>
        <v/>
      </c>
      <c r="U81" s="10"/>
      <c r="V81" s="14" t="str">
        <f aca="true">IF(AND(L81="Listed",N81&lt;&gt;"",P81=""),IF(TODAY()-N81&gt;=Settings!$B$6,"STALE",""),"")</f>
        <v/>
      </c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1"/>
      <c r="J82" s="10"/>
      <c r="K82" s="10"/>
      <c r="L82" s="10"/>
      <c r="M82" s="12"/>
      <c r="N82" s="12"/>
      <c r="O82" s="11"/>
      <c r="P82" s="12"/>
      <c r="Q82" s="11"/>
      <c r="R82" s="13" t="str">
        <f aca="false">IF(Q82="","",ROUND(Q82*IFERROR(INDEX(Settings!$B$2:$B$4,MATCH(K82,Settings!$A$2:$A$4,0)),0)+IFERROR(INDEX(Settings!$C$2:$C$4,MATCH(K82,Settings!$A$2:$A$4,0)),0),2))</f>
        <v/>
      </c>
      <c r="S82" s="13" t="str">
        <f aca="false">IF(Q82="","",Q82-R82-N(I82))</f>
        <v/>
      </c>
      <c r="T82" s="14" t="str">
        <f aca="true">IF(N82="","",IF(P82&lt;&gt;"",P82-N82,TODAY()-N82))</f>
        <v/>
      </c>
      <c r="U82" s="10"/>
      <c r="V82" s="14" t="str">
        <f aca="true">IF(AND(L82="Listed",N82&lt;&gt;"",P82=""),IF(TODAY()-N82&gt;=Settings!$B$6,"STALE",""),"")</f>
        <v/>
      </c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1"/>
      <c r="J83" s="10"/>
      <c r="K83" s="10"/>
      <c r="L83" s="10"/>
      <c r="M83" s="12"/>
      <c r="N83" s="12"/>
      <c r="O83" s="11"/>
      <c r="P83" s="12"/>
      <c r="Q83" s="11"/>
      <c r="R83" s="13" t="str">
        <f aca="false">IF(Q83="","",ROUND(Q83*IFERROR(INDEX(Settings!$B$2:$B$4,MATCH(K83,Settings!$A$2:$A$4,0)),0)+IFERROR(INDEX(Settings!$C$2:$C$4,MATCH(K83,Settings!$A$2:$A$4,0)),0),2))</f>
        <v/>
      </c>
      <c r="S83" s="13" t="str">
        <f aca="false">IF(Q83="","",Q83-R83-N(I83))</f>
        <v/>
      </c>
      <c r="T83" s="14" t="str">
        <f aca="true">IF(N83="","",IF(P83&lt;&gt;"",P83-N83,TODAY()-N83))</f>
        <v/>
      </c>
      <c r="U83" s="10"/>
      <c r="V83" s="14" t="str">
        <f aca="true">IF(AND(L83="Listed",N83&lt;&gt;"",P83=""),IF(TODAY()-N83&gt;=Settings!$B$6,"STALE",""),"")</f>
        <v/>
      </c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1"/>
      <c r="J84" s="10"/>
      <c r="K84" s="10"/>
      <c r="L84" s="10"/>
      <c r="M84" s="12"/>
      <c r="N84" s="12"/>
      <c r="O84" s="11"/>
      <c r="P84" s="12"/>
      <c r="Q84" s="11"/>
      <c r="R84" s="13" t="str">
        <f aca="false">IF(Q84="","",ROUND(Q84*IFERROR(INDEX(Settings!$B$2:$B$4,MATCH(K84,Settings!$A$2:$A$4,0)),0)+IFERROR(INDEX(Settings!$C$2:$C$4,MATCH(K84,Settings!$A$2:$A$4,0)),0),2))</f>
        <v/>
      </c>
      <c r="S84" s="13" t="str">
        <f aca="false">IF(Q84="","",Q84-R84-N(I84))</f>
        <v/>
      </c>
      <c r="T84" s="14" t="str">
        <f aca="true">IF(N84="","",IF(P84&lt;&gt;"",P84-N84,TODAY()-N84))</f>
        <v/>
      </c>
      <c r="U84" s="10"/>
      <c r="V84" s="14" t="str">
        <f aca="true">IF(AND(L84="Listed",N84&lt;&gt;"",P84=""),IF(TODAY()-N84&gt;=Settings!$B$6,"STALE",""),"")</f>
        <v/>
      </c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1"/>
      <c r="J85" s="10"/>
      <c r="K85" s="10"/>
      <c r="L85" s="10"/>
      <c r="M85" s="12"/>
      <c r="N85" s="12"/>
      <c r="O85" s="11"/>
      <c r="P85" s="12"/>
      <c r="Q85" s="11"/>
      <c r="R85" s="13" t="str">
        <f aca="false">IF(Q85="","",ROUND(Q85*IFERROR(INDEX(Settings!$B$2:$B$4,MATCH(K85,Settings!$A$2:$A$4,0)),0)+IFERROR(INDEX(Settings!$C$2:$C$4,MATCH(K85,Settings!$A$2:$A$4,0)),0),2))</f>
        <v/>
      </c>
      <c r="S85" s="13" t="str">
        <f aca="false">IF(Q85="","",Q85-R85-N(I85))</f>
        <v/>
      </c>
      <c r="T85" s="14" t="str">
        <f aca="true">IF(N85="","",IF(P85&lt;&gt;"",P85-N85,TODAY()-N85))</f>
        <v/>
      </c>
      <c r="U85" s="10"/>
      <c r="V85" s="14" t="str">
        <f aca="true">IF(AND(L85="Listed",N85&lt;&gt;"",P85=""),IF(TODAY()-N85&gt;=Settings!$B$6,"STALE",""),"")</f>
        <v/>
      </c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1"/>
      <c r="J86" s="10"/>
      <c r="K86" s="10"/>
      <c r="L86" s="10"/>
      <c r="M86" s="12"/>
      <c r="N86" s="12"/>
      <c r="O86" s="11"/>
      <c r="P86" s="12"/>
      <c r="Q86" s="11"/>
      <c r="R86" s="13" t="str">
        <f aca="false">IF(Q86="","",ROUND(Q86*IFERROR(INDEX(Settings!$B$2:$B$4,MATCH(K86,Settings!$A$2:$A$4,0)),0)+IFERROR(INDEX(Settings!$C$2:$C$4,MATCH(K86,Settings!$A$2:$A$4,0)),0),2))</f>
        <v/>
      </c>
      <c r="S86" s="13" t="str">
        <f aca="false">IF(Q86="","",Q86-R86-N(I86))</f>
        <v/>
      </c>
      <c r="T86" s="14" t="str">
        <f aca="true">IF(N86="","",IF(P86&lt;&gt;"",P86-N86,TODAY()-N86))</f>
        <v/>
      </c>
      <c r="U86" s="10"/>
      <c r="V86" s="14" t="str">
        <f aca="true">IF(AND(L86="Listed",N86&lt;&gt;"",P86=""),IF(TODAY()-N86&gt;=Settings!$B$6,"STALE",""),"")</f>
        <v/>
      </c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1"/>
      <c r="J87" s="10"/>
      <c r="K87" s="10"/>
      <c r="L87" s="10"/>
      <c r="M87" s="12"/>
      <c r="N87" s="12"/>
      <c r="O87" s="11"/>
      <c r="P87" s="12"/>
      <c r="Q87" s="11"/>
      <c r="R87" s="13" t="str">
        <f aca="false">IF(Q87="","",ROUND(Q87*IFERROR(INDEX(Settings!$B$2:$B$4,MATCH(K87,Settings!$A$2:$A$4,0)),0)+IFERROR(INDEX(Settings!$C$2:$C$4,MATCH(K87,Settings!$A$2:$A$4,0)),0),2))</f>
        <v/>
      </c>
      <c r="S87" s="13" t="str">
        <f aca="false">IF(Q87="","",Q87-R87-N(I87))</f>
        <v/>
      </c>
      <c r="T87" s="14" t="str">
        <f aca="true">IF(N87="","",IF(P87&lt;&gt;"",P87-N87,TODAY()-N87))</f>
        <v/>
      </c>
      <c r="U87" s="10"/>
      <c r="V87" s="14" t="str">
        <f aca="true">IF(AND(L87="Listed",N87&lt;&gt;"",P87=""),IF(TODAY()-N87&gt;=Settings!$B$6,"STALE",""),"")</f>
        <v/>
      </c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1"/>
      <c r="J88" s="10"/>
      <c r="K88" s="10"/>
      <c r="L88" s="10"/>
      <c r="M88" s="12"/>
      <c r="N88" s="12"/>
      <c r="O88" s="11"/>
      <c r="P88" s="12"/>
      <c r="Q88" s="11"/>
      <c r="R88" s="13" t="str">
        <f aca="false">IF(Q88="","",ROUND(Q88*IFERROR(INDEX(Settings!$B$2:$B$4,MATCH(K88,Settings!$A$2:$A$4,0)),0)+IFERROR(INDEX(Settings!$C$2:$C$4,MATCH(K88,Settings!$A$2:$A$4,0)),0),2))</f>
        <v/>
      </c>
      <c r="S88" s="13" t="str">
        <f aca="false">IF(Q88="","",Q88-R88-N(I88))</f>
        <v/>
      </c>
      <c r="T88" s="14" t="str">
        <f aca="true">IF(N88="","",IF(P88&lt;&gt;"",P88-N88,TODAY()-N88))</f>
        <v/>
      </c>
      <c r="U88" s="10"/>
      <c r="V88" s="14" t="str">
        <f aca="true">IF(AND(L88="Listed",N88&lt;&gt;"",P88=""),IF(TODAY()-N88&gt;=Settings!$B$6,"STALE",""),"")</f>
        <v/>
      </c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1"/>
      <c r="J89" s="10"/>
      <c r="K89" s="10"/>
      <c r="L89" s="10"/>
      <c r="M89" s="12"/>
      <c r="N89" s="12"/>
      <c r="O89" s="11"/>
      <c r="P89" s="12"/>
      <c r="Q89" s="11"/>
      <c r="R89" s="13" t="str">
        <f aca="false">IF(Q89="","",ROUND(Q89*IFERROR(INDEX(Settings!$B$2:$B$4,MATCH(K89,Settings!$A$2:$A$4,0)),0)+IFERROR(INDEX(Settings!$C$2:$C$4,MATCH(K89,Settings!$A$2:$A$4,0)),0),2))</f>
        <v/>
      </c>
      <c r="S89" s="13" t="str">
        <f aca="false">IF(Q89="","",Q89-R89-N(I89))</f>
        <v/>
      </c>
      <c r="T89" s="14" t="str">
        <f aca="true">IF(N89="","",IF(P89&lt;&gt;"",P89-N89,TODAY()-N89))</f>
        <v/>
      </c>
      <c r="U89" s="10"/>
      <c r="V89" s="14" t="str">
        <f aca="true">IF(AND(L89="Listed",N89&lt;&gt;"",P89=""),IF(TODAY()-N89&gt;=Settings!$B$6,"STALE",""),"")</f>
        <v/>
      </c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1"/>
      <c r="J90" s="10"/>
      <c r="K90" s="10"/>
      <c r="L90" s="10"/>
      <c r="M90" s="12"/>
      <c r="N90" s="12"/>
      <c r="O90" s="11"/>
      <c r="P90" s="12"/>
      <c r="Q90" s="11"/>
      <c r="R90" s="13" t="str">
        <f aca="false">IF(Q90="","",ROUND(Q90*IFERROR(INDEX(Settings!$B$2:$B$4,MATCH(K90,Settings!$A$2:$A$4,0)),0)+IFERROR(INDEX(Settings!$C$2:$C$4,MATCH(K90,Settings!$A$2:$A$4,0)),0),2))</f>
        <v/>
      </c>
      <c r="S90" s="13" t="str">
        <f aca="false">IF(Q90="","",Q90-R90-N(I90))</f>
        <v/>
      </c>
      <c r="T90" s="14" t="str">
        <f aca="true">IF(N90="","",IF(P90&lt;&gt;"",P90-N90,TODAY()-N90))</f>
        <v/>
      </c>
      <c r="U90" s="10"/>
      <c r="V90" s="14" t="str">
        <f aca="true">IF(AND(L90="Listed",N90&lt;&gt;"",P90=""),IF(TODAY()-N90&gt;=Settings!$B$6,"STALE",""),"")</f>
        <v/>
      </c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1"/>
      <c r="J91" s="10"/>
      <c r="K91" s="10"/>
      <c r="L91" s="10"/>
      <c r="M91" s="12"/>
      <c r="N91" s="12"/>
      <c r="O91" s="11"/>
      <c r="P91" s="12"/>
      <c r="Q91" s="11"/>
      <c r="R91" s="13" t="str">
        <f aca="false">IF(Q91="","",ROUND(Q91*IFERROR(INDEX(Settings!$B$2:$B$4,MATCH(K91,Settings!$A$2:$A$4,0)),0)+IFERROR(INDEX(Settings!$C$2:$C$4,MATCH(K91,Settings!$A$2:$A$4,0)),0),2))</f>
        <v/>
      </c>
      <c r="S91" s="13" t="str">
        <f aca="false">IF(Q91="","",Q91-R91-N(I91))</f>
        <v/>
      </c>
      <c r="T91" s="14" t="str">
        <f aca="true">IF(N91="","",IF(P91&lt;&gt;"",P91-N91,TODAY()-N91))</f>
        <v/>
      </c>
      <c r="U91" s="10"/>
      <c r="V91" s="14" t="str">
        <f aca="true">IF(AND(L91="Listed",N91&lt;&gt;"",P91=""),IF(TODAY()-N91&gt;=Settings!$B$6,"STALE",""),"")</f>
        <v/>
      </c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1"/>
      <c r="J92" s="10"/>
      <c r="K92" s="10"/>
      <c r="L92" s="10"/>
      <c r="M92" s="12"/>
      <c r="N92" s="12"/>
      <c r="O92" s="11"/>
      <c r="P92" s="12"/>
      <c r="Q92" s="11"/>
      <c r="R92" s="13" t="str">
        <f aca="false">IF(Q92="","",ROUND(Q92*IFERROR(INDEX(Settings!$B$2:$B$4,MATCH(K92,Settings!$A$2:$A$4,0)),0)+IFERROR(INDEX(Settings!$C$2:$C$4,MATCH(K92,Settings!$A$2:$A$4,0)),0),2))</f>
        <v/>
      </c>
      <c r="S92" s="13" t="str">
        <f aca="false">IF(Q92="","",Q92-R92-N(I92))</f>
        <v/>
      </c>
      <c r="T92" s="14" t="str">
        <f aca="true">IF(N92="","",IF(P92&lt;&gt;"",P92-N92,TODAY()-N92))</f>
        <v/>
      </c>
      <c r="U92" s="10"/>
      <c r="V92" s="14" t="str">
        <f aca="true">IF(AND(L92="Listed",N92&lt;&gt;"",P92=""),IF(TODAY()-N92&gt;=Settings!$B$6,"STALE",""),"")</f>
        <v/>
      </c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1"/>
      <c r="J93" s="10"/>
      <c r="K93" s="10"/>
      <c r="L93" s="10"/>
      <c r="M93" s="12"/>
      <c r="N93" s="12"/>
      <c r="O93" s="11"/>
      <c r="P93" s="12"/>
      <c r="Q93" s="11"/>
      <c r="R93" s="13" t="str">
        <f aca="false">IF(Q93="","",ROUND(Q93*IFERROR(INDEX(Settings!$B$2:$B$4,MATCH(K93,Settings!$A$2:$A$4,0)),0)+IFERROR(INDEX(Settings!$C$2:$C$4,MATCH(K93,Settings!$A$2:$A$4,0)),0),2))</f>
        <v/>
      </c>
      <c r="S93" s="13" t="str">
        <f aca="false">IF(Q93="","",Q93-R93-N(I93))</f>
        <v/>
      </c>
      <c r="T93" s="14" t="str">
        <f aca="true">IF(N93="","",IF(P93&lt;&gt;"",P93-N93,TODAY()-N93))</f>
        <v/>
      </c>
      <c r="U93" s="10"/>
      <c r="V93" s="14" t="str">
        <f aca="true">IF(AND(L93="Listed",N93&lt;&gt;"",P93=""),IF(TODAY()-N93&gt;=Settings!$B$6,"STALE",""),"")</f>
        <v/>
      </c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1"/>
      <c r="J94" s="10"/>
      <c r="K94" s="10"/>
      <c r="L94" s="10"/>
      <c r="M94" s="12"/>
      <c r="N94" s="12"/>
      <c r="O94" s="11"/>
      <c r="P94" s="12"/>
      <c r="Q94" s="11"/>
      <c r="R94" s="13" t="str">
        <f aca="false">IF(Q94="","",ROUND(Q94*IFERROR(INDEX(Settings!$B$2:$B$4,MATCH(K94,Settings!$A$2:$A$4,0)),0)+IFERROR(INDEX(Settings!$C$2:$C$4,MATCH(K94,Settings!$A$2:$A$4,0)),0),2))</f>
        <v/>
      </c>
      <c r="S94" s="13" t="str">
        <f aca="false">IF(Q94="","",Q94-R94-N(I94))</f>
        <v/>
      </c>
      <c r="T94" s="14" t="str">
        <f aca="true">IF(N94="","",IF(P94&lt;&gt;"",P94-N94,TODAY()-N94))</f>
        <v/>
      </c>
      <c r="U94" s="10"/>
      <c r="V94" s="14" t="str">
        <f aca="true">IF(AND(L94="Listed",N94&lt;&gt;"",P94=""),IF(TODAY()-N94&gt;=Settings!$B$6,"STALE",""),"")</f>
        <v/>
      </c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1"/>
      <c r="J95" s="10"/>
      <c r="K95" s="10"/>
      <c r="L95" s="10"/>
      <c r="M95" s="12"/>
      <c r="N95" s="12"/>
      <c r="O95" s="11"/>
      <c r="P95" s="12"/>
      <c r="Q95" s="11"/>
      <c r="R95" s="13" t="str">
        <f aca="false">IF(Q95="","",ROUND(Q95*IFERROR(INDEX(Settings!$B$2:$B$4,MATCH(K95,Settings!$A$2:$A$4,0)),0)+IFERROR(INDEX(Settings!$C$2:$C$4,MATCH(K95,Settings!$A$2:$A$4,0)),0),2))</f>
        <v/>
      </c>
      <c r="S95" s="13" t="str">
        <f aca="false">IF(Q95="","",Q95-R95-N(I95))</f>
        <v/>
      </c>
      <c r="T95" s="14" t="str">
        <f aca="true">IF(N95="","",IF(P95&lt;&gt;"",P95-N95,TODAY()-N95))</f>
        <v/>
      </c>
      <c r="U95" s="10"/>
      <c r="V95" s="14" t="str">
        <f aca="true">IF(AND(L95="Listed",N95&lt;&gt;"",P95=""),IF(TODAY()-N95&gt;=Settings!$B$6,"STALE",""),"")</f>
        <v/>
      </c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1"/>
      <c r="J96" s="10"/>
      <c r="K96" s="10"/>
      <c r="L96" s="10"/>
      <c r="M96" s="12"/>
      <c r="N96" s="12"/>
      <c r="O96" s="11"/>
      <c r="P96" s="12"/>
      <c r="Q96" s="11"/>
      <c r="R96" s="13" t="str">
        <f aca="false">IF(Q96="","",ROUND(Q96*IFERROR(INDEX(Settings!$B$2:$B$4,MATCH(K96,Settings!$A$2:$A$4,0)),0)+IFERROR(INDEX(Settings!$C$2:$C$4,MATCH(K96,Settings!$A$2:$A$4,0)),0),2))</f>
        <v/>
      </c>
      <c r="S96" s="13" t="str">
        <f aca="false">IF(Q96="","",Q96-R96-N(I96))</f>
        <v/>
      </c>
      <c r="T96" s="14" t="str">
        <f aca="true">IF(N96="","",IF(P96&lt;&gt;"",P96-N96,TODAY()-N96))</f>
        <v/>
      </c>
      <c r="U96" s="10"/>
      <c r="V96" s="14" t="str">
        <f aca="true">IF(AND(L96="Listed",N96&lt;&gt;"",P96=""),IF(TODAY()-N96&gt;=Settings!$B$6,"STALE",""),"")</f>
        <v/>
      </c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1"/>
      <c r="J97" s="10"/>
      <c r="K97" s="10"/>
      <c r="L97" s="10"/>
      <c r="M97" s="12"/>
      <c r="N97" s="12"/>
      <c r="O97" s="11"/>
      <c r="P97" s="12"/>
      <c r="Q97" s="11"/>
      <c r="R97" s="13" t="str">
        <f aca="false">IF(Q97="","",ROUND(Q97*IFERROR(INDEX(Settings!$B$2:$B$4,MATCH(K97,Settings!$A$2:$A$4,0)),0)+IFERROR(INDEX(Settings!$C$2:$C$4,MATCH(K97,Settings!$A$2:$A$4,0)),0),2))</f>
        <v/>
      </c>
      <c r="S97" s="13" t="str">
        <f aca="false">IF(Q97="","",Q97-R97-N(I97))</f>
        <v/>
      </c>
      <c r="T97" s="14" t="str">
        <f aca="true">IF(N97="","",IF(P97&lt;&gt;"",P97-N97,TODAY()-N97))</f>
        <v/>
      </c>
      <c r="U97" s="10"/>
      <c r="V97" s="14" t="str">
        <f aca="true">IF(AND(L97="Listed",N97&lt;&gt;"",P97=""),IF(TODAY()-N97&gt;=Settings!$B$6,"STALE",""),"")</f>
        <v/>
      </c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1"/>
      <c r="J98" s="10"/>
      <c r="K98" s="10"/>
      <c r="L98" s="10"/>
      <c r="M98" s="12"/>
      <c r="N98" s="12"/>
      <c r="O98" s="11"/>
      <c r="P98" s="12"/>
      <c r="Q98" s="11"/>
      <c r="R98" s="13" t="str">
        <f aca="false">IF(Q98="","",ROUND(Q98*IFERROR(INDEX(Settings!$B$2:$B$4,MATCH(K98,Settings!$A$2:$A$4,0)),0)+IFERROR(INDEX(Settings!$C$2:$C$4,MATCH(K98,Settings!$A$2:$A$4,0)),0),2))</f>
        <v/>
      </c>
      <c r="S98" s="13" t="str">
        <f aca="false">IF(Q98="","",Q98-R98-N(I98))</f>
        <v/>
      </c>
      <c r="T98" s="14" t="str">
        <f aca="true">IF(N98="","",IF(P98&lt;&gt;"",P98-N98,TODAY()-N98))</f>
        <v/>
      </c>
      <c r="U98" s="10"/>
      <c r="V98" s="14" t="str">
        <f aca="true">IF(AND(L98="Listed",N98&lt;&gt;"",P98=""),IF(TODAY()-N98&gt;=Settings!$B$6,"STALE",""),"")</f>
        <v/>
      </c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1"/>
      <c r="J99" s="10"/>
      <c r="K99" s="10"/>
      <c r="L99" s="10"/>
      <c r="M99" s="12"/>
      <c r="N99" s="12"/>
      <c r="O99" s="11"/>
      <c r="P99" s="12"/>
      <c r="Q99" s="11"/>
      <c r="R99" s="13" t="str">
        <f aca="false">IF(Q99="","",ROUND(Q99*IFERROR(INDEX(Settings!$B$2:$B$4,MATCH(K99,Settings!$A$2:$A$4,0)),0)+IFERROR(INDEX(Settings!$C$2:$C$4,MATCH(K99,Settings!$A$2:$A$4,0)),0),2))</f>
        <v/>
      </c>
      <c r="S99" s="13" t="str">
        <f aca="false">IF(Q99="","",Q99-R99-N(I99))</f>
        <v/>
      </c>
      <c r="T99" s="14" t="str">
        <f aca="true">IF(N99="","",IF(P99&lt;&gt;"",P99-N99,TODAY()-N99))</f>
        <v/>
      </c>
      <c r="U99" s="10"/>
      <c r="V99" s="14" t="str">
        <f aca="true">IF(AND(L99="Listed",N99&lt;&gt;"",P99=""),IF(TODAY()-N99&gt;=Settings!$B$6,"STALE",""),"")</f>
        <v/>
      </c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1"/>
      <c r="J100" s="10"/>
      <c r="K100" s="10"/>
      <c r="L100" s="10"/>
      <c r="M100" s="12"/>
      <c r="N100" s="12"/>
      <c r="O100" s="11"/>
      <c r="P100" s="12"/>
      <c r="Q100" s="11"/>
      <c r="R100" s="13" t="str">
        <f aca="false">IF(Q100="","",ROUND(Q100*IFERROR(INDEX(Settings!$B$2:$B$4,MATCH(K100,Settings!$A$2:$A$4,0)),0)+IFERROR(INDEX(Settings!$C$2:$C$4,MATCH(K100,Settings!$A$2:$A$4,0)),0),2))</f>
        <v/>
      </c>
      <c r="S100" s="13" t="str">
        <f aca="false">IF(Q100="","",Q100-R100-N(I100))</f>
        <v/>
      </c>
      <c r="T100" s="14" t="str">
        <f aca="true">IF(N100="","",IF(P100&lt;&gt;"",P100-N100,TODAY()-N100))</f>
        <v/>
      </c>
      <c r="U100" s="10"/>
      <c r="V100" s="14" t="str">
        <f aca="true">IF(AND(L100="Listed",N100&lt;&gt;"",P100=""),IF(TODAY()-N100&gt;=Settings!$B$6,"STALE",""),"")</f>
        <v/>
      </c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1"/>
      <c r="J101" s="10"/>
      <c r="K101" s="10"/>
      <c r="L101" s="10"/>
      <c r="M101" s="12"/>
      <c r="N101" s="12"/>
      <c r="O101" s="11"/>
      <c r="P101" s="12"/>
      <c r="Q101" s="11"/>
      <c r="R101" s="13" t="str">
        <f aca="false">IF(Q101="","",ROUND(Q101*IFERROR(INDEX(Settings!$B$2:$B$4,MATCH(K101,Settings!$A$2:$A$4,0)),0)+IFERROR(INDEX(Settings!$C$2:$C$4,MATCH(K101,Settings!$A$2:$A$4,0)),0),2))</f>
        <v/>
      </c>
      <c r="S101" s="13" t="str">
        <f aca="false">IF(Q101="","",Q101-R101-N(I101))</f>
        <v/>
      </c>
      <c r="T101" s="14" t="str">
        <f aca="true">IF(N101="","",IF(P101&lt;&gt;"",P101-N101,TODAY()-N101))</f>
        <v/>
      </c>
      <c r="U101" s="10"/>
      <c r="V101" s="14" t="str">
        <f aca="true">IF(AND(L101="Listed",N101&lt;&gt;"",P101=""),IF(TODAY()-N101&gt;=Settings!$B$6,"STALE",""),"")</f>
        <v/>
      </c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1"/>
      <c r="J102" s="10"/>
      <c r="K102" s="10"/>
      <c r="L102" s="10"/>
      <c r="M102" s="12"/>
      <c r="N102" s="12"/>
      <c r="O102" s="11"/>
      <c r="P102" s="12"/>
      <c r="Q102" s="11"/>
      <c r="R102" s="13" t="str">
        <f aca="false">IF(Q102="","",ROUND(Q102*IFERROR(INDEX(Settings!$B$2:$B$4,MATCH(K102,Settings!$A$2:$A$4,0)),0)+IFERROR(INDEX(Settings!$C$2:$C$4,MATCH(K102,Settings!$A$2:$A$4,0)),0),2))</f>
        <v/>
      </c>
      <c r="S102" s="13" t="str">
        <f aca="false">IF(Q102="","",Q102-R102-N(I102))</f>
        <v/>
      </c>
      <c r="T102" s="14" t="str">
        <f aca="true">IF(N102="","",IF(P102&lt;&gt;"",P102-N102,TODAY()-N102))</f>
        <v/>
      </c>
      <c r="U102" s="10"/>
      <c r="V102" s="14" t="str">
        <f aca="true">IF(AND(L102="Listed",N102&lt;&gt;"",P102=""),IF(TODAY()-N102&gt;=Settings!$B$6,"STALE",""),"")</f>
        <v/>
      </c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1"/>
      <c r="J103" s="10"/>
      <c r="K103" s="10"/>
      <c r="L103" s="10"/>
      <c r="M103" s="12"/>
      <c r="N103" s="12"/>
      <c r="O103" s="11"/>
      <c r="P103" s="12"/>
      <c r="Q103" s="11"/>
      <c r="R103" s="13" t="str">
        <f aca="false">IF(Q103="","",ROUND(Q103*IFERROR(INDEX(Settings!$B$2:$B$4,MATCH(K103,Settings!$A$2:$A$4,0)),0)+IFERROR(INDEX(Settings!$C$2:$C$4,MATCH(K103,Settings!$A$2:$A$4,0)),0),2))</f>
        <v/>
      </c>
      <c r="S103" s="13" t="str">
        <f aca="false">IF(Q103="","",Q103-R103-N(I103))</f>
        <v/>
      </c>
      <c r="T103" s="14" t="str">
        <f aca="true">IF(N103="","",IF(P103&lt;&gt;"",P103-N103,TODAY()-N103))</f>
        <v/>
      </c>
      <c r="U103" s="10"/>
      <c r="V103" s="14" t="str">
        <f aca="true">IF(AND(L103="Listed",N103&lt;&gt;"",P103=""),IF(TODAY()-N103&gt;=Settings!$B$6,"STALE",""),"")</f>
        <v/>
      </c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1"/>
      <c r="J104" s="10"/>
      <c r="K104" s="10"/>
      <c r="L104" s="10"/>
      <c r="M104" s="12"/>
      <c r="N104" s="12"/>
      <c r="O104" s="11"/>
      <c r="P104" s="12"/>
      <c r="Q104" s="11"/>
      <c r="R104" s="13" t="str">
        <f aca="false">IF(Q104="","",ROUND(Q104*IFERROR(INDEX(Settings!$B$2:$B$4,MATCH(K104,Settings!$A$2:$A$4,0)),0)+IFERROR(INDEX(Settings!$C$2:$C$4,MATCH(K104,Settings!$A$2:$A$4,0)),0),2))</f>
        <v/>
      </c>
      <c r="S104" s="13" t="str">
        <f aca="false">IF(Q104="","",Q104-R104-N(I104))</f>
        <v/>
      </c>
      <c r="T104" s="14" t="str">
        <f aca="true">IF(N104="","",IF(P104&lt;&gt;"",P104-N104,TODAY()-N104))</f>
        <v/>
      </c>
      <c r="U104" s="10"/>
      <c r="V104" s="14" t="str">
        <f aca="true">IF(AND(L104="Listed",N104&lt;&gt;"",P104=""),IF(TODAY()-N104&gt;=Settings!$B$6,"STALE",""),"")</f>
        <v/>
      </c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1"/>
      <c r="J105" s="10"/>
      <c r="K105" s="10"/>
      <c r="L105" s="10"/>
      <c r="M105" s="12"/>
      <c r="N105" s="12"/>
      <c r="O105" s="11"/>
      <c r="P105" s="12"/>
      <c r="Q105" s="11"/>
      <c r="R105" s="13" t="str">
        <f aca="false">IF(Q105="","",ROUND(Q105*IFERROR(INDEX(Settings!$B$2:$B$4,MATCH(K105,Settings!$A$2:$A$4,0)),0)+IFERROR(INDEX(Settings!$C$2:$C$4,MATCH(K105,Settings!$A$2:$A$4,0)),0),2))</f>
        <v/>
      </c>
      <c r="S105" s="13" t="str">
        <f aca="false">IF(Q105="","",Q105-R105-N(I105))</f>
        <v/>
      </c>
      <c r="T105" s="14" t="str">
        <f aca="true">IF(N105="","",IF(P105&lt;&gt;"",P105-N105,TODAY()-N105))</f>
        <v/>
      </c>
      <c r="U105" s="10"/>
      <c r="V105" s="14" t="str">
        <f aca="true">IF(AND(L105="Listed",N105&lt;&gt;"",P105=""),IF(TODAY()-N105&gt;=Settings!$B$6,"STALE",""),"")</f>
        <v/>
      </c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1"/>
      <c r="J106" s="10"/>
      <c r="K106" s="10"/>
      <c r="L106" s="10"/>
      <c r="M106" s="12"/>
      <c r="N106" s="12"/>
      <c r="O106" s="11"/>
      <c r="P106" s="12"/>
      <c r="Q106" s="11"/>
      <c r="R106" s="13" t="str">
        <f aca="false">IF(Q106="","",ROUND(Q106*IFERROR(INDEX(Settings!$B$2:$B$4,MATCH(K106,Settings!$A$2:$A$4,0)),0)+IFERROR(INDEX(Settings!$C$2:$C$4,MATCH(K106,Settings!$A$2:$A$4,0)),0),2))</f>
        <v/>
      </c>
      <c r="S106" s="13" t="str">
        <f aca="false">IF(Q106="","",Q106-R106-N(I106))</f>
        <v/>
      </c>
      <c r="T106" s="14" t="str">
        <f aca="true">IF(N106="","",IF(P106&lt;&gt;"",P106-N106,TODAY()-N106))</f>
        <v/>
      </c>
      <c r="U106" s="10"/>
      <c r="V106" s="14" t="str">
        <f aca="true">IF(AND(L106="Listed",N106&lt;&gt;"",P106=""),IF(TODAY()-N106&gt;=Settings!$B$6,"STALE",""),"")</f>
        <v/>
      </c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1"/>
      <c r="J107" s="10"/>
      <c r="K107" s="10"/>
      <c r="L107" s="10"/>
      <c r="M107" s="12"/>
      <c r="N107" s="12"/>
      <c r="O107" s="11"/>
      <c r="P107" s="12"/>
      <c r="Q107" s="11"/>
      <c r="R107" s="13" t="str">
        <f aca="false">IF(Q107="","",ROUND(Q107*IFERROR(INDEX(Settings!$B$2:$B$4,MATCH(K107,Settings!$A$2:$A$4,0)),0)+IFERROR(INDEX(Settings!$C$2:$C$4,MATCH(K107,Settings!$A$2:$A$4,0)),0),2))</f>
        <v/>
      </c>
      <c r="S107" s="13" t="str">
        <f aca="false">IF(Q107="","",Q107-R107-N(I107))</f>
        <v/>
      </c>
      <c r="T107" s="14" t="str">
        <f aca="true">IF(N107="","",IF(P107&lt;&gt;"",P107-N107,TODAY()-N107))</f>
        <v/>
      </c>
      <c r="U107" s="10"/>
      <c r="V107" s="14" t="str">
        <f aca="true">IF(AND(L107="Listed",N107&lt;&gt;"",P107=""),IF(TODAY()-N107&gt;=Settings!$B$6,"STALE",""),"")</f>
        <v/>
      </c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1"/>
      <c r="J108" s="10"/>
      <c r="K108" s="10"/>
      <c r="L108" s="10"/>
      <c r="M108" s="12"/>
      <c r="N108" s="12"/>
      <c r="O108" s="11"/>
      <c r="P108" s="12"/>
      <c r="Q108" s="11"/>
      <c r="R108" s="13" t="str">
        <f aca="false">IF(Q108="","",ROUND(Q108*IFERROR(INDEX(Settings!$B$2:$B$4,MATCH(K108,Settings!$A$2:$A$4,0)),0)+IFERROR(INDEX(Settings!$C$2:$C$4,MATCH(K108,Settings!$A$2:$A$4,0)),0),2))</f>
        <v/>
      </c>
      <c r="S108" s="13" t="str">
        <f aca="false">IF(Q108="","",Q108-R108-N(I108))</f>
        <v/>
      </c>
      <c r="T108" s="14" t="str">
        <f aca="true">IF(N108="","",IF(P108&lt;&gt;"",P108-N108,TODAY()-N108))</f>
        <v/>
      </c>
      <c r="U108" s="10"/>
      <c r="V108" s="14" t="str">
        <f aca="true">IF(AND(L108="Listed",N108&lt;&gt;"",P108=""),IF(TODAY()-N108&gt;=Settings!$B$6,"STALE",""),"")</f>
        <v/>
      </c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1"/>
      <c r="J109" s="10"/>
      <c r="K109" s="10"/>
      <c r="L109" s="10"/>
      <c r="M109" s="12"/>
      <c r="N109" s="12"/>
      <c r="O109" s="11"/>
      <c r="P109" s="12"/>
      <c r="Q109" s="11"/>
      <c r="R109" s="13" t="str">
        <f aca="false">IF(Q109="","",ROUND(Q109*IFERROR(INDEX(Settings!$B$2:$B$4,MATCH(K109,Settings!$A$2:$A$4,0)),0)+IFERROR(INDEX(Settings!$C$2:$C$4,MATCH(K109,Settings!$A$2:$A$4,0)),0),2))</f>
        <v/>
      </c>
      <c r="S109" s="13" t="str">
        <f aca="false">IF(Q109="","",Q109-R109-N(I109))</f>
        <v/>
      </c>
      <c r="T109" s="14" t="str">
        <f aca="true">IF(N109="","",IF(P109&lt;&gt;"",P109-N109,TODAY()-N109))</f>
        <v/>
      </c>
      <c r="U109" s="10"/>
      <c r="V109" s="14" t="str">
        <f aca="true">IF(AND(L109="Listed",N109&lt;&gt;"",P109=""),IF(TODAY()-N109&gt;=Settings!$B$6,"STALE",""),"")</f>
        <v/>
      </c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1"/>
      <c r="J110" s="10"/>
      <c r="K110" s="10"/>
      <c r="L110" s="10"/>
      <c r="M110" s="12"/>
      <c r="N110" s="12"/>
      <c r="O110" s="11"/>
      <c r="P110" s="12"/>
      <c r="Q110" s="11"/>
      <c r="R110" s="13" t="str">
        <f aca="false">IF(Q110="","",ROUND(Q110*IFERROR(INDEX(Settings!$B$2:$B$4,MATCH(K110,Settings!$A$2:$A$4,0)),0)+IFERROR(INDEX(Settings!$C$2:$C$4,MATCH(K110,Settings!$A$2:$A$4,0)),0),2))</f>
        <v/>
      </c>
      <c r="S110" s="13" t="str">
        <f aca="false">IF(Q110="","",Q110-R110-N(I110))</f>
        <v/>
      </c>
      <c r="T110" s="14" t="str">
        <f aca="true">IF(N110="","",IF(P110&lt;&gt;"",P110-N110,TODAY()-N110))</f>
        <v/>
      </c>
      <c r="U110" s="10"/>
      <c r="V110" s="14" t="str">
        <f aca="true">IF(AND(L110="Listed",N110&lt;&gt;"",P110=""),IF(TODAY()-N110&gt;=Settings!$B$6,"STALE",""),"")</f>
        <v/>
      </c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1"/>
      <c r="J111" s="10"/>
      <c r="K111" s="10"/>
      <c r="L111" s="10"/>
      <c r="M111" s="12"/>
      <c r="N111" s="12"/>
      <c r="O111" s="11"/>
      <c r="P111" s="12"/>
      <c r="Q111" s="11"/>
      <c r="R111" s="13" t="str">
        <f aca="false">IF(Q111="","",ROUND(Q111*IFERROR(INDEX(Settings!$B$2:$B$4,MATCH(K111,Settings!$A$2:$A$4,0)),0)+IFERROR(INDEX(Settings!$C$2:$C$4,MATCH(K111,Settings!$A$2:$A$4,0)),0),2))</f>
        <v/>
      </c>
      <c r="S111" s="13" t="str">
        <f aca="false">IF(Q111="","",Q111-R111-N(I111))</f>
        <v/>
      </c>
      <c r="T111" s="14" t="str">
        <f aca="true">IF(N111="","",IF(P111&lt;&gt;"",P111-N111,TODAY()-N111))</f>
        <v/>
      </c>
      <c r="U111" s="10"/>
      <c r="V111" s="14" t="str">
        <f aca="true">IF(AND(L111="Listed",N111&lt;&gt;"",P111=""),IF(TODAY()-N111&gt;=Settings!$B$6,"STALE",""),"")</f>
        <v/>
      </c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1"/>
      <c r="J112" s="10"/>
      <c r="K112" s="10"/>
      <c r="L112" s="10"/>
      <c r="M112" s="12"/>
      <c r="N112" s="12"/>
      <c r="O112" s="11"/>
      <c r="P112" s="12"/>
      <c r="Q112" s="11"/>
      <c r="R112" s="13" t="str">
        <f aca="false">IF(Q112="","",ROUND(Q112*IFERROR(INDEX(Settings!$B$2:$B$4,MATCH(K112,Settings!$A$2:$A$4,0)),0)+IFERROR(INDEX(Settings!$C$2:$C$4,MATCH(K112,Settings!$A$2:$A$4,0)),0),2))</f>
        <v/>
      </c>
      <c r="S112" s="13" t="str">
        <f aca="false">IF(Q112="","",Q112-R112-N(I112))</f>
        <v/>
      </c>
      <c r="T112" s="14" t="str">
        <f aca="true">IF(N112="","",IF(P112&lt;&gt;"",P112-N112,TODAY()-N112))</f>
        <v/>
      </c>
      <c r="U112" s="10"/>
      <c r="V112" s="14" t="str">
        <f aca="true">IF(AND(L112="Listed",N112&lt;&gt;"",P112=""),IF(TODAY()-N112&gt;=Settings!$B$6,"STALE",""),"")</f>
        <v/>
      </c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1"/>
      <c r="J113" s="10"/>
      <c r="K113" s="10"/>
      <c r="L113" s="10"/>
      <c r="M113" s="12"/>
      <c r="N113" s="12"/>
      <c r="O113" s="11"/>
      <c r="P113" s="12"/>
      <c r="Q113" s="11"/>
      <c r="R113" s="13" t="str">
        <f aca="false">IF(Q113="","",ROUND(Q113*IFERROR(INDEX(Settings!$B$2:$B$4,MATCH(K113,Settings!$A$2:$A$4,0)),0)+IFERROR(INDEX(Settings!$C$2:$C$4,MATCH(K113,Settings!$A$2:$A$4,0)),0),2))</f>
        <v/>
      </c>
      <c r="S113" s="13" t="str">
        <f aca="false">IF(Q113="","",Q113-R113-N(I113))</f>
        <v/>
      </c>
      <c r="T113" s="14" t="str">
        <f aca="true">IF(N113="","",IF(P113&lt;&gt;"",P113-N113,TODAY()-N113))</f>
        <v/>
      </c>
      <c r="U113" s="10"/>
      <c r="V113" s="14" t="str">
        <f aca="true">IF(AND(L113="Listed",N113&lt;&gt;"",P113=""),IF(TODAY()-N113&gt;=Settings!$B$6,"STALE",""),"")</f>
        <v/>
      </c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1"/>
      <c r="J114" s="10"/>
      <c r="K114" s="10"/>
      <c r="L114" s="10"/>
      <c r="M114" s="12"/>
      <c r="N114" s="12"/>
      <c r="O114" s="11"/>
      <c r="P114" s="12"/>
      <c r="Q114" s="11"/>
      <c r="R114" s="13" t="str">
        <f aca="false">IF(Q114="","",ROUND(Q114*IFERROR(INDEX(Settings!$B$2:$B$4,MATCH(K114,Settings!$A$2:$A$4,0)),0)+IFERROR(INDEX(Settings!$C$2:$C$4,MATCH(K114,Settings!$A$2:$A$4,0)),0),2))</f>
        <v/>
      </c>
      <c r="S114" s="13" t="str">
        <f aca="false">IF(Q114="","",Q114-R114-N(I114))</f>
        <v/>
      </c>
      <c r="T114" s="14" t="str">
        <f aca="true">IF(N114="","",IF(P114&lt;&gt;"",P114-N114,TODAY()-N114))</f>
        <v/>
      </c>
      <c r="U114" s="10"/>
      <c r="V114" s="14" t="str">
        <f aca="true">IF(AND(L114="Listed",N114&lt;&gt;"",P114=""),IF(TODAY()-N114&gt;=Settings!$B$6,"STALE",""),"")</f>
        <v/>
      </c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1"/>
      <c r="J115" s="10"/>
      <c r="K115" s="10"/>
      <c r="L115" s="10"/>
      <c r="M115" s="12"/>
      <c r="N115" s="12"/>
      <c r="O115" s="11"/>
      <c r="P115" s="12"/>
      <c r="Q115" s="11"/>
      <c r="R115" s="13" t="str">
        <f aca="false">IF(Q115="","",ROUND(Q115*IFERROR(INDEX(Settings!$B$2:$B$4,MATCH(K115,Settings!$A$2:$A$4,0)),0)+IFERROR(INDEX(Settings!$C$2:$C$4,MATCH(K115,Settings!$A$2:$A$4,0)),0),2))</f>
        <v/>
      </c>
      <c r="S115" s="13" t="str">
        <f aca="false">IF(Q115="","",Q115-R115-N(I115))</f>
        <v/>
      </c>
      <c r="T115" s="14" t="str">
        <f aca="true">IF(N115="","",IF(P115&lt;&gt;"",P115-N115,TODAY()-N115))</f>
        <v/>
      </c>
      <c r="U115" s="10"/>
      <c r="V115" s="14" t="str">
        <f aca="true">IF(AND(L115="Listed",N115&lt;&gt;"",P115=""),IF(TODAY()-N115&gt;=Settings!$B$6,"STALE",""),"")</f>
        <v/>
      </c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1"/>
      <c r="J116" s="10"/>
      <c r="K116" s="10"/>
      <c r="L116" s="10"/>
      <c r="M116" s="12"/>
      <c r="N116" s="12"/>
      <c r="O116" s="11"/>
      <c r="P116" s="12"/>
      <c r="Q116" s="11"/>
      <c r="R116" s="13" t="str">
        <f aca="false">IF(Q116="","",ROUND(Q116*IFERROR(INDEX(Settings!$B$2:$B$4,MATCH(K116,Settings!$A$2:$A$4,0)),0)+IFERROR(INDEX(Settings!$C$2:$C$4,MATCH(K116,Settings!$A$2:$A$4,0)),0),2))</f>
        <v/>
      </c>
      <c r="S116" s="13" t="str">
        <f aca="false">IF(Q116="","",Q116-R116-N(I116))</f>
        <v/>
      </c>
      <c r="T116" s="14" t="str">
        <f aca="true">IF(N116="","",IF(P116&lt;&gt;"",P116-N116,TODAY()-N116))</f>
        <v/>
      </c>
      <c r="U116" s="10"/>
      <c r="V116" s="14" t="str">
        <f aca="true">IF(AND(L116="Listed",N116&lt;&gt;"",P116=""),IF(TODAY()-N116&gt;=Settings!$B$6,"STALE",""),"")</f>
        <v/>
      </c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1"/>
      <c r="J117" s="10"/>
      <c r="K117" s="10"/>
      <c r="L117" s="10"/>
      <c r="M117" s="12"/>
      <c r="N117" s="12"/>
      <c r="O117" s="11"/>
      <c r="P117" s="12"/>
      <c r="Q117" s="11"/>
      <c r="R117" s="13" t="str">
        <f aca="false">IF(Q117="","",ROUND(Q117*IFERROR(INDEX(Settings!$B$2:$B$4,MATCH(K117,Settings!$A$2:$A$4,0)),0)+IFERROR(INDEX(Settings!$C$2:$C$4,MATCH(K117,Settings!$A$2:$A$4,0)),0),2))</f>
        <v/>
      </c>
      <c r="S117" s="13" t="str">
        <f aca="false">IF(Q117="","",Q117-R117-N(I117))</f>
        <v/>
      </c>
      <c r="T117" s="14" t="str">
        <f aca="true">IF(N117="","",IF(P117&lt;&gt;"",P117-N117,TODAY()-N117))</f>
        <v/>
      </c>
      <c r="U117" s="10"/>
      <c r="V117" s="14" t="str">
        <f aca="true">IF(AND(L117="Listed",N117&lt;&gt;"",P117=""),IF(TODAY()-N117&gt;=Settings!$B$6,"STALE",""),"")</f>
        <v/>
      </c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1"/>
      <c r="J118" s="10"/>
      <c r="K118" s="10"/>
      <c r="L118" s="10"/>
      <c r="M118" s="12"/>
      <c r="N118" s="12"/>
      <c r="O118" s="11"/>
      <c r="P118" s="12"/>
      <c r="Q118" s="11"/>
      <c r="R118" s="13" t="str">
        <f aca="false">IF(Q118="","",ROUND(Q118*IFERROR(INDEX(Settings!$B$2:$B$4,MATCH(K118,Settings!$A$2:$A$4,0)),0)+IFERROR(INDEX(Settings!$C$2:$C$4,MATCH(K118,Settings!$A$2:$A$4,0)),0),2))</f>
        <v/>
      </c>
      <c r="S118" s="13" t="str">
        <f aca="false">IF(Q118="","",Q118-R118-N(I118))</f>
        <v/>
      </c>
      <c r="T118" s="14" t="str">
        <f aca="true">IF(N118="","",IF(P118&lt;&gt;"",P118-N118,TODAY()-N118))</f>
        <v/>
      </c>
      <c r="U118" s="10"/>
      <c r="V118" s="14" t="str">
        <f aca="true">IF(AND(L118="Listed",N118&lt;&gt;"",P118=""),IF(TODAY()-N118&gt;=Settings!$B$6,"STALE",""),"")</f>
        <v/>
      </c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1"/>
      <c r="J119" s="10"/>
      <c r="K119" s="10"/>
      <c r="L119" s="10"/>
      <c r="M119" s="12"/>
      <c r="N119" s="12"/>
      <c r="O119" s="11"/>
      <c r="P119" s="12"/>
      <c r="Q119" s="11"/>
      <c r="R119" s="13" t="str">
        <f aca="false">IF(Q119="","",ROUND(Q119*IFERROR(INDEX(Settings!$B$2:$B$4,MATCH(K119,Settings!$A$2:$A$4,0)),0)+IFERROR(INDEX(Settings!$C$2:$C$4,MATCH(K119,Settings!$A$2:$A$4,0)),0),2))</f>
        <v/>
      </c>
      <c r="S119" s="13" t="str">
        <f aca="false">IF(Q119="","",Q119-R119-N(I119))</f>
        <v/>
      </c>
      <c r="T119" s="14" t="str">
        <f aca="true">IF(N119="","",IF(P119&lt;&gt;"",P119-N119,TODAY()-N119))</f>
        <v/>
      </c>
      <c r="U119" s="10"/>
      <c r="V119" s="14" t="str">
        <f aca="true">IF(AND(L119="Listed",N119&lt;&gt;"",P119=""),IF(TODAY()-N119&gt;=Settings!$B$6,"STALE",""),"")</f>
        <v/>
      </c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1"/>
      <c r="J120" s="10"/>
      <c r="K120" s="10"/>
      <c r="L120" s="10"/>
      <c r="M120" s="12"/>
      <c r="N120" s="12"/>
      <c r="O120" s="11"/>
      <c r="P120" s="12"/>
      <c r="Q120" s="11"/>
      <c r="R120" s="13" t="str">
        <f aca="false">IF(Q120="","",ROUND(Q120*IFERROR(INDEX(Settings!$B$2:$B$4,MATCH(K120,Settings!$A$2:$A$4,0)),0)+IFERROR(INDEX(Settings!$C$2:$C$4,MATCH(K120,Settings!$A$2:$A$4,0)),0),2))</f>
        <v/>
      </c>
      <c r="S120" s="13" t="str">
        <f aca="false">IF(Q120="","",Q120-R120-N(I120))</f>
        <v/>
      </c>
      <c r="T120" s="14" t="str">
        <f aca="true">IF(N120="","",IF(P120&lt;&gt;"",P120-N120,TODAY()-N120))</f>
        <v/>
      </c>
      <c r="U120" s="10"/>
      <c r="V120" s="14" t="str">
        <f aca="true">IF(AND(L120="Listed",N120&lt;&gt;"",P120=""),IF(TODAY()-N120&gt;=Settings!$B$6,"STALE",""),"")</f>
        <v/>
      </c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1"/>
      <c r="J121" s="10"/>
      <c r="K121" s="10"/>
      <c r="L121" s="10"/>
      <c r="M121" s="12"/>
      <c r="N121" s="12"/>
      <c r="O121" s="11"/>
      <c r="P121" s="12"/>
      <c r="Q121" s="11"/>
      <c r="R121" s="13" t="str">
        <f aca="false">IF(Q121="","",ROUND(Q121*IFERROR(INDEX(Settings!$B$2:$B$4,MATCH(K121,Settings!$A$2:$A$4,0)),0)+IFERROR(INDEX(Settings!$C$2:$C$4,MATCH(K121,Settings!$A$2:$A$4,0)),0),2))</f>
        <v/>
      </c>
      <c r="S121" s="13" t="str">
        <f aca="false">IF(Q121="","",Q121-R121-N(I121))</f>
        <v/>
      </c>
      <c r="T121" s="14" t="str">
        <f aca="true">IF(N121="","",IF(P121&lt;&gt;"",P121-N121,TODAY()-N121))</f>
        <v/>
      </c>
      <c r="U121" s="10"/>
      <c r="V121" s="14" t="str">
        <f aca="true">IF(AND(L121="Listed",N121&lt;&gt;"",P121=""),IF(TODAY()-N121&gt;=Settings!$B$6,"STALE",""),"")</f>
        <v/>
      </c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1"/>
      <c r="J122" s="10"/>
      <c r="K122" s="10"/>
      <c r="L122" s="10"/>
      <c r="M122" s="12"/>
      <c r="N122" s="12"/>
      <c r="O122" s="11"/>
      <c r="P122" s="12"/>
      <c r="Q122" s="11"/>
      <c r="R122" s="13" t="str">
        <f aca="false">IF(Q122="","",ROUND(Q122*IFERROR(INDEX(Settings!$B$2:$B$4,MATCH(K122,Settings!$A$2:$A$4,0)),0)+IFERROR(INDEX(Settings!$C$2:$C$4,MATCH(K122,Settings!$A$2:$A$4,0)),0),2))</f>
        <v/>
      </c>
      <c r="S122" s="13" t="str">
        <f aca="false">IF(Q122="","",Q122-R122-N(I122))</f>
        <v/>
      </c>
      <c r="T122" s="14" t="str">
        <f aca="true">IF(N122="","",IF(P122&lt;&gt;"",P122-N122,TODAY()-N122))</f>
        <v/>
      </c>
      <c r="U122" s="10"/>
      <c r="V122" s="14" t="str">
        <f aca="true">IF(AND(L122="Listed",N122&lt;&gt;"",P122=""),IF(TODAY()-N122&gt;=Settings!$B$6,"STALE",""),"")</f>
        <v/>
      </c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1"/>
      <c r="J123" s="10"/>
      <c r="K123" s="10"/>
      <c r="L123" s="10"/>
      <c r="M123" s="12"/>
      <c r="N123" s="12"/>
      <c r="O123" s="11"/>
      <c r="P123" s="12"/>
      <c r="Q123" s="11"/>
      <c r="R123" s="13" t="str">
        <f aca="false">IF(Q123="","",ROUND(Q123*IFERROR(INDEX(Settings!$B$2:$B$4,MATCH(K123,Settings!$A$2:$A$4,0)),0)+IFERROR(INDEX(Settings!$C$2:$C$4,MATCH(K123,Settings!$A$2:$A$4,0)),0),2))</f>
        <v/>
      </c>
      <c r="S123" s="13" t="str">
        <f aca="false">IF(Q123="","",Q123-R123-N(I123))</f>
        <v/>
      </c>
      <c r="T123" s="14" t="str">
        <f aca="true">IF(N123="","",IF(P123&lt;&gt;"",P123-N123,TODAY()-N123))</f>
        <v/>
      </c>
      <c r="U123" s="10"/>
      <c r="V123" s="14" t="str">
        <f aca="true">IF(AND(L123="Listed",N123&lt;&gt;"",P123=""),IF(TODAY()-N123&gt;=Settings!$B$6,"STALE",""),"")</f>
        <v/>
      </c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1"/>
      <c r="J124" s="10"/>
      <c r="K124" s="10"/>
      <c r="L124" s="10"/>
      <c r="M124" s="12"/>
      <c r="N124" s="12"/>
      <c r="O124" s="11"/>
      <c r="P124" s="12"/>
      <c r="Q124" s="11"/>
      <c r="R124" s="13" t="str">
        <f aca="false">IF(Q124="","",ROUND(Q124*IFERROR(INDEX(Settings!$B$2:$B$4,MATCH(K124,Settings!$A$2:$A$4,0)),0)+IFERROR(INDEX(Settings!$C$2:$C$4,MATCH(K124,Settings!$A$2:$A$4,0)),0),2))</f>
        <v/>
      </c>
      <c r="S124" s="13" t="str">
        <f aca="false">IF(Q124="","",Q124-R124-N(I124))</f>
        <v/>
      </c>
      <c r="T124" s="14" t="str">
        <f aca="true">IF(N124="","",IF(P124&lt;&gt;"",P124-N124,TODAY()-N124))</f>
        <v/>
      </c>
      <c r="U124" s="10"/>
      <c r="V124" s="14" t="str">
        <f aca="true">IF(AND(L124="Listed",N124&lt;&gt;"",P124=""),IF(TODAY()-N124&gt;=Settings!$B$6,"STALE",""),"")</f>
        <v/>
      </c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1"/>
      <c r="J125" s="10"/>
      <c r="K125" s="10"/>
      <c r="L125" s="10"/>
      <c r="M125" s="12"/>
      <c r="N125" s="12"/>
      <c r="O125" s="11"/>
      <c r="P125" s="12"/>
      <c r="Q125" s="11"/>
      <c r="R125" s="13" t="str">
        <f aca="false">IF(Q125="","",ROUND(Q125*IFERROR(INDEX(Settings!$B$2:$B$4,MATCH(K125,Settings!$A$2:$A$4,0)),0)+IFERROR(INDEX(Settings!$C$2:$C$4,MATCH(K125,Settings!$A$2:$A$4,0)),0),2))</f>
        <v/>
      </c>
      <c r="S125" s="13" t="str">
        <f aca="false">IF(Q125="","",Q125-R125-N(I125))</f>
        <v/>
      </c>
      <c r="T125" s="14" t="str">
        <f aca="true">IF(N125="","",IF(P125&lt;&gt;"",P125-N125,TODAY()-N125))</f>
        <v/>
      </c>
      <c r="U125" s="10"/>
      <c r="V125" s="14" t="str">
        <f aca="true">IF(AND(L125="Listed",N125&lt;&gt;"",P125=""),IF(TODAY()-N125&gt;=Settings!$B$6,"STALE",""),"")</f>
        <v/>
      </c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1"/>
      <c r="J126" s="10"/>
      <c r="K126" s="10"/>
      <c r="L126" s="10"/>
      <c r="M126" s="12"/>
      <c r="N126" s="12"/>
      <c r="O126" s="11"/>
      <c r="P126" s="12"/>
      <c r="Q126" s="11"/>
      <c r="R126" s="13" t="str">
        <f aca="false">IF(Q126="","",ROUND(Q126*IFERROR(INDEX(Settings!$B$2:$B$4,MATCH(K126,Settings!$A$2:$A$4,0)),0)+IFERROR(INDEX(Settings!$C$2:$C$4,MATCH(K126,Settings!$A$2:$A$4,0)),0),2))</f>
        <v/>
      </c>
      <c r="S126" s="13" t="str">
        <f aca="false">IF(Q126="","",Q126-R126-N(I126))</f>
        <v/>
      </c>
      <c r="T126" s="14" t="str">
        <f aca="true">IF(N126="","",IF(P126&lt;&gt;"",P126-N126,TODAY()-N126))</f>
        <v/>
      </c>
      <c r="U126" s="10"/>
      <c r="V126" s="14" t="str">
        <f aca="true">IF(AND(L126="Listed",N126&lt;&gt;"",P126=""),IF(TODAY()-N126&gt;=Settings!$B$6,"STALE",""),"")</f>
        <v/>
      </c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1"/>
      <c r="J127" s="10"/>
      <c r="K127" s="10"/>
      <c r="L127" s="10"/>
      <c r="M127" s="12"/>
      <c r="N127" s="12"/>
      <c r="O127" s="11"/>
      <c r="P127" s="12"/>
      <c r="Q127" s="11"/>
      <c r="R127" s="13" t="str">
        <f aca="false">IF(Q127="","",ROUND(Q127*IFERROR(INDEX(Settings!$B$2:$B$4,MATCH(K127,Settings!$A$2:$A$4,0)),0)+IFERROR(INDEX(Settings!$C$2:$C$4,MATCH(K127,Settings!$A$2:$A$4,0)),0),2))</f>
        <v/>
      </c>
      <c r="S127" s="13" t="str">
        <f aca="false">IF(Q127="","",Q127-R127-N(I127))</f>
        <v/>
      </c>
      <c r="T127" s="14" t="str">
        <f aca="true">IF(N127="","",IF(P127&lt;&gt;"",P127-N127,TODAY()-N127))</f>
        <v/>
      </c>
      <c r="U127" s="10"/>
      <c r="V127" s="14" t="str">
        <f aca="true">IF(AND(L127="Listed",N127&lt;&gt;"",P127=""),IF(TODAY()-N127&gt;=Settings!$B$6,"STALE",""),"")</f>
        <v/>
      </c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1"/>
      <c r="J128" s="10"/>
      <c r="K128" s="10"/>
      <c r="L128" s="10"/>
      <c r="M128" s="12"/>
      <c r="N128" s="12"/>
      <c r="O128" s="11"/>
      <c r="P128" s="12"/>
      <c r="Q128" s="11"/>
      <c r="R128" s="13" t="str">
        <f aca="false">IF(Q128="","",ROUND(Q128*IFERROR(INDEX(Settings!$B$2:$B$4,MATCH(K128,Settings!$A$2:$A$4,0)),0)+IFERROR(INDEX(Settings!$C$2:$C$4,MATCH(K128,Settings!$A$2:$A$4,0)),0),2))</f>
        <v/>
      </c>
      <c r="S128" s="13" t="str">
        <f aca="false">IF(Q128="","",Q128-R128-N(I128))</f>
        <v/>
      </c>
      <c r="T128" s="14" t="str">
        <f aca="true">IF(N128="","",IF(P128&lt;&gt;"",P128-N128,TODAY()-N128))</f>
        <v/>
      </c>
      <c r="U128" s="10"/>
      <c r="V128" s="14" t="str">
        <f aca="true">IF(AND(L128="Listed",N128&lt;&gt;"",P128=""),IF(TODAY()-N128&gt;=Settings!$B$6,"STALE",""),"")</f>
        <v/>
      </c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1"/>
      <c r="J129" s="10"/>
      <c r="K129" s="10"/>
      <c r="L129" s="10"/>
      <c r="M129" s="12"/>
      <c r="N129" s="12"/>
      <c r="O129" s="11"/>
      <c r="P129" s="12"/>
      <c r="Q129" s="11"/>
      <c r="R129" s="13" t="str">
        <f aca="false">IF(Q129="","",ROUND(Q129*IFERROR(INDEX(Settings!$B$2:$B$4,MATCH(K129,Settings!$A$2:$A$4,0)),0)+IFERROR(INDEX(Settings!$C$2:$C$4,MATCH(K129,Settings!$A$2:$A$4,0)),0),2))</f>
        <v/>
      </c>
      <c r="S129" s="13" t="str">
        <f aca="false">IF(Q129="","",Q129-R129-N(I129))</f>
        <v/>
      </c>
      <c r="T129" s="14" t="str">
        <f aca="true">IF(N129="","",IF(P129&lt;&gt;"",P129-N129,TODAY()-N129))</f>
        <v/>
      </c>
      <c r="U129" s="10"/>
      <c r="V129" s="14" t="str">
        <f aca="true">IF(AND(L129="Listed",N129&lt;&gt;"",P129=""),IF(TODAY()-N129&gt;=Settings!$B$6,"STALE",""),"")</f>
        <v/>
      </c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1"/>
      <c r="J130" s="10"/>
      <c r="K130" s="10"/>
      <c r="L130" s="10"/>
      <c r="M130" s="12"/>
      <c r="N130" s="12"/>
      <c r="O130" s="11"/>
      <c r="P130" s="12"/>
      <c r="Q130" s="11"/>
      <c r="R130" s="13" t="str">
        <f aca="false">IF(Q130="","",ROUND(Q130*IFERROR(INDEX(Settings!$B$2:$B$4,MATCH(K130,Settings!$A$2:$A$4,0)),0)+IFERROR(INDEX(Settings!$C$2:$C$4,MATCH(K130,Settings!$A$2:$A$4,0)),0),2))</f>
        <v/>
      </c>
      <c r="S130" s="13" t="str">
        <f aca="false">IF(Q130="","",Q130-R130-N(I130))</f>
        <v/>
      </c>
      <c r="T130" s="14" t="str">
        <f aca="true">IF(N130="","",IF(P130&lt;&gt;"",P130-N130,TODAY()-N130))</f>
        <v/>
      </c>
      <c r="U130" s="10"/>
      <c r="V130" s="14" t="str">
        <f aca="true">IF(AND(L130="Listed",N130&lt;&gt;"",P130=""),IF(TODAY()-N130&gt;=Settings!$B$6,"STALE",""),"")</f>
        <v/>
      </c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1"/>
      <c r="J131" s="10"/>
      <c r="K131" s="10"/>
      <c r="L131" s="10"/>
      <c r="M131" s="12"/>
      <c r="N131" s="12"/>
      <c r="O131" s="11"/>
      <c r="P131" s="12"/>
      <c r="Q131" s="11"/>
      <c r="R131" s="13" t="str">
        <f aca="false">IF(Q131="","",ROUND(Q131*IFERROR(INDEX(Settings!$B$2:$B$4,MATCH(K131,Settings!$A$2:$A$4,0)),0)+IFERROR(INDEX(Settings!$C$2:$C$4,MATCH(K131,Settings!$A$2:$A$4,0)),0),2))</f>
        <v/>
      </c>
      <c r="S131" s="13" t="str">
        <f aca="false">IF(Q131="","",Q131-R131-N(I131))</f>
        <v/>
      </c>
      <c r="T131" s="14" t="str">
        <f aca="true">IF(N131="","",IF(P131&lt;&gt;"",P131-N131,TODAY()-N131))</f>
        <v/>
      </c>
      <c r="U131" s="10"/>
      <c r="V131" s="14" t="str">
        <f aca="true">IF(AND(L131="Listed",N131&lt;&gt;"",P131=""),IF(TODAY()-N131&gt;=Settings!$B$6,"STALE",""),"")</f>
        <v/>
      </c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1"/>
      <c r="J132" s="10"/>
      <c r="K132" s="10"/>
      <c r="L132" s="10"/>
      <c r="M132" s="12"/>
      <c r="N132" s="12"/>
      <c r="O132" s="11"/>
      <c r="P132" s="12"/>
      <c r="Q132" s="11"/>
      <c r="R132" s="13" t="str">
        <f aca="false">IF(Q132="","",ROUND(Q132*IFERROR(INDEX(Settings!$B$2:$B$4,MATCH(K132,Settings!$A$2:$A$4,0)),0)+IFERROR(INDEX(Settings!$C$2:$C$4,MATCH(K132,Settings!$A$2:$A$4,0)),0),2))</f>
        <v/>
      </c>
      <c r="S132" s="13" t="str">
        <f aca="false">IF(Q132="","",Q132-R132-N(I132))</f>
        <v/>
      </c>
      <c r="T132" s="14" t="str">
        <f aca="true">IF(N132="","",IF(P132&lt;&gt;"",P132-N132,TODAY()-N132))</f>
        <v/>
      </c>
      <c r="U132" s="10"/>
      <c r="V132" s="14" t="str">
        <f aca="true">IF(AND(L132="Listed",N132&lt;&gt;"",P132=""),IF(TODAY()-N132&gt;=Settings!$B$6,"STALE",""),"")</f>
        <v/>
      </c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1"/>
      <c r="J133" s="10"/>
      <c r="K133" s="10"/>
      <c r="L133" s="10"/>
      <c r="M133" s="12"/>
      <c r="N133" s="12"/>
      <c r="O133" s="11"/>
      <c r="P133" s="12"/>
      <c r="Q133" s="11"/>
      <c r="R133" s="13" t="str">
        <f aca="false">IF(Q133="","",ROUND(Q133*IFERROR(INDEX(Settings!$B$2:$B$4,MATCH(K133,Settings!$A$2:$A$4,0)),0)+IFERROR(INDEX(Settings!$C$2:$C$4,MATCH(K133,Settings!$A$2:$A$4,0)),0),2))</f>
        <v/>
      </c>
      <c r="S133" s="13" t="str">
        <f aca="false">IF(Q133="","",Q133-R133-N(I133))</f>
        <v/>
      </c>
      <c r="T133" s="14" t="str">
        <f aca="true">IF(N133="","",IF(P133&lt;&gt;"",P133-N133,TODAY()-N133))</f>
        <v/>
      </c>
      <c r="U133" s="10"/>
      <c r="V133" s="14" t="str">
        <f aca="true">IF(AND(L133="Listed",N133&lt;&gt;"",P133=""),IF(TODAY()-N133&gt;=Settings!$B$6,"STALE",""),"")</f>
        <v/>
      </c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1"/>
      <c r="J134" s="10"/>
      <c r="K134" s="10"/>
      <c r="L134" s="10"/>
      <c r="M134" s="12"/>
      <c r="N134" s="12"/>
      <c r="O134" s="11"/>
      <c r="P134" s="12"/>
      <c r="Q134" s="11"/>
      <c r="R134" s="13" t="str">
        <f aca="false">IF(Q134="","",ROUND(Q134*IFERROR(INDEX(Settings!$B$2:$B$4,MATCH(K134,Settings!$A$2:$A$4,0)),0)+IFERROR(INDEX(Settings!$C$2:$C$4,MATCH(K134,Settings!$A$2:$A$4,0)),0),2))</f>
        <v/>
      </c>
      <c r="S134" s="13" t="str">
        <f aca="false">IF(Q134="","",Q134-R134-N(I134))</f>
        <v/>
      </c>
      <c r="T134" s="14" t="str">
        <f aca="true">IF(N134="","",IF(P134&lt;&gt;"",P134-N134,TODAY()-N134))</f>
        <v/>
      </c>
      <c r="U134" s="10"/>
      <c r="V134" s="14" t="str">
        <f aca="true">IF(AND(L134="Listed",N134&lt;&gt;"",P134=""),IF(TODAY()-N134&gt;=Settings!$B$6,"STALE",""),"")</f>
        <v/>
      </c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1"/>
      <c r="J135" s="10"/>
      <c r="K135" s="10"/>
      <c r="L135" s="10"/>
      <c r="M135" s="12"/>
      <c r="N135" s="12"/>
      <c r="O135" s="11"/>
      <c r="P135" s="12"/>
      <c r="Q135" s="11"/>
      <c r="R135" s="13" t="str">
        <f aca="false">IF(Q135="","",ROUND(Q135*IFERROR(INDEX(Settings!$B$2:$B$4,MATCH(K135,Settings!$A$2:$A$4,0)),0)+IFERROR(INDEX(Settings!$C$2:$C$4,MATCH(K135,Settings!$A$2:$A$4,0)),0),2))</f>
        <v/>
      </c>
      <c r="S135" s="13" t="str">
        <f aca="false">IF(Q135="","",Q135-R135-N(I135))</f>
        <v/>
      </c>
      <c r="T135" s="14" t="str">
        <f aca="true">IF(N135="","",IF(P135&lt;&gt;"",P135-N135,TODAY()-N135))</f>
        <v/>
      </c>
      <c r="U135" s="10"/>
      <c r="V135" s="14" t="str">
        <f aca="true">IF(AND(L135="Listed",N135&lt;&gt;"",P135=""),IF(TODAY()-N135&gt;=Settings!$B$6,"STALE",""),"")</f>
        <v/>
      </c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1"/>
      <c r="J136" s="10"/>
      <c r="K136" s="10"/>
      <c r="L136" s="10"/>
      <c r="M136" s="12"/>
      <c r="N136" s="12"/>
      <c r="O136" s="11"/>
      <c r="P136" s="12"/>
      <c r="Q136" s="11"/>
      <c r="R136" s="13" t="str">
        <f aca="false">IF(Q136="","",ROUND(Q136*IFERROR(INDEX(Settings!$B$2:$B$4,MATCH(K136,Settings!$A$2:$A$4,0)),0)+IFERROR(INDEX(Settings!$C$2:$C$4,MATCH(K136,Settings!$A$2:$A$4,0)),0),2))</f>
        <v/>
      </c>
      <c r="S136" s="13" t="str">
        <f aca="false">IF(Q136="","",Q136-R136-N(I136))</f>
        <v/>
      </c>
      <c r="T136" s="14" t="str">
        <f aca="true">IF(N136="","",IF(P136&lt;&gt;"",P136-N136,TODAY()-N136))</f>
        <v/>
      </c>
      <c r="U136" s="10"/>
      <c r="V136" s="14" t="str">
        <f aca="true">IF(AND(L136="Listed",N136&lt;&gt;"",P136=""),IF(TODAY()-N136&gt;=Settings!$B$6,"STALE",""),"")</f>
        <v/>
      </c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1"/>
      <c r="J137" s="10"/>
      <c r="K137" s="10"/>
      <c r="L137" s="10"/>
      <c r="M137" s="12"/>
      <c r="N137" s="12"/>
      <c r="O137" s="11"/>
      <c r="P137" s="12"/>
      <c r="Q137" s="11"/>
      <c r="R137" s="13" t="str">
        <f aca="false">IF(Q137="","",ROUND(Q137*IFERROR(INDEX(Settings!$B$2:$B$4,MATCH(K137,Settings!$A$2:$A$4,0)),0)+IFERROR(INDEX(Settings!$C$2:$C$4,MATCH(K137,Settings!$A$2:$A$4,0)),0),2))</f>
        <v/>
      </c>
      <c r="S137" s="13" t="str">
        <f aca="false">IF(Q137="","",Q137-R137-N(I137))</f>
        <v/>
      </c>
      <c r="T137" s="14" t="str">
        <f aca="true">IF(N137="","",IF(P137&lt;&gt;"",P137-N137,TODAY()-N137))</f>
        <v/>
      </c>
      <c r="U137" s="10"/>
      <c r="V137" s="14" t="str">
        <f aca="true">IF(AND(L137="Listed",N137&lt;&gt;"",P137=""),IF(TODAY()-N137&gt;=Settings!$B$6,"STALE",""),"")</f>
        <v/>
      </c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1"/>
      <c r="J138" s="10"/>
      <c r="K138" s="10"/>
      <c r="L138" s="10"/>
      <c r="M138" s="12"/>
      <c r="N138" s="12"/>
      <c r="O138" s="11"/>
      <c r="P138" s="12"/>
      <c r="Q138" s="11"/>
      <c r="R138" s="13" t="str">
        <f aca="false">IF(Q138="","",ROUND(Q138*IFERROR(INDEX(Settings!$B$2:$B$4,MATCH(K138,Settings!$A$2:$A$4,0)),0)+IFERROR(INDEX(Settings!$C$2:$C$4,MATCH(K138,Settings!$A$2:$A$4,0)),0),2))</f>
        <v/>
      </c>
      <c r="S138" s="13" t="str">
        <f aca="false">IF(Q138="","",Q138-R138-N(I138))</f>
        <v/>
      </c>
      <c r="T138" s="14" t="str">
        <f aca="true">IF(N138="","",IF(P138&lt;&gt;"",P138-N138,TODAY()-N138))</f>
        <v/>
      </c>
      <c r="U138" s="10"/>
      <c r="V138" s="14" t="str">
        <f aca="true">IF(AND(L138="Listed",N138&lt;&gt;"",P138=""),IF(TODAY()-N138&gt;=Settings!$B$6,"STALE",""),"")</f>
        <v/>
      </c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1"/>
      <c r="J139" s="10"/>
      <c r="K139" s="10"/>
      <c r="L139" s="10"/>
      <c r="M139" s="12"/>
      <c r="N139" s="12"/>
      <c r="O139" s="11"/>
      <c r="P139" s="12"/>
      <c r="Q139" s="11"/>
      <c r="R139" s="13" t="str">
        <f aca="false">IF(Q139="","",ROUND(Q139*IFERROR(INDEX(Settings!$B$2:$B$4,MATCH(K139,Settings!$A$2:$A$4,0)),0)+IFERROR(INDEX(Settings!$C$2:$C$4,MATCH(K139,Settings!$A$2:$A$4,0)),0),2))</f>
        <v/>
      </c>
      <c r="S139" s="13" t="str">
        <f aca="false">IF(Q139="","",Q139-R139-N(I139))</f>
        <v/>
      </c>
      <c r="T139" s="14" t="str">
        <f aca="true">IF(N139="","",IF(P139&lt;&gt;"",P139-N139,TODAY()-N139))</f>
        <v/>
      </c>
      <c r="U139" s="10"/>
      <c r="V139" s="14" t="str">
        <f aca="true">IF(AND(L139="Listed",N139&lt;&gt;"",P139=""),IF(TODAY()-N139&gt;=Settings!$B$6,"STALE",""),"")</f>
        <v/>
      </c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1"/>
      <c r="J140" s="10"/>
      <c r="K140" s="10"/>
      <c r="L140" s="10"/>
      <c r="M140" s="12"/>
      <c r="N140" s="12"/>
      <c r="O140" s="11"/>
      <c r="P140" s="12"/>
      <c r="Q140" s="11"/>
      <c r="R140" s="13" t="str">
        <f aca="false">IF(Q140="","",ROUND(Q140*IFERROR(INDEX(Settings!$B$2:$B$4,MATCH(K140,Settings!$A$2:$A$4,0)),0)+IFERROR(INDEX(Settings!$C$2:$C$4,MATCH(K140,Settings!$A$2:$A$4,0)),0),2))</f>
        <v/>
      </c>
      <c r="S140" s="13" t="str">
        <f aca="false">IF(Q140="","",Q140-R140-N(I140))</f>
        <v/>
      </c>
      <c r="T140" s="14" t="str">
        <f aca="true">IF(N140="","",IF(P140&lt;&gt;"",P140-N140,TODAY()-N140))</f>
        <v/>
      </c>
      <c r="U140" s="10"/>
      <c r="V140" s="14" t="str">
        <f aca="true">IF(AND(L140="Listed",N140&lt;&gt;"",P140=""),IF(TODAY()-N140&gt;=Settings!$B$6,"STALE",""),"")</f>
        <v/>
      </c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1"/>
      <c r="J141" s="10"/>
      <c r="K141" s="10"/>
      <c r="L141" s="10"/>
      <c r="M141" s="12"/>
      <c r="N141" s="12"/>
      <c r="O141" s="11"/>
      <c r="P141" s="12"/>
      <c r="Q141" s="11"/>
      <c r="R141" s="13" t="str">
        <f aca="false">IF(Q141="","",ROUND(Q141*IFERROR(INDEX(Settings!$B$2:$B$4,MATCH(K141,Settings!$A$2:$A$4,0)),0)+IFERROR(INDEX(Settings!$C$2:$C$4,MATCH(K141,Settings!$A$2:$A$4,0)),0),2))</f>
        <v/>
      </c>
      <c r="S141" s="13" t="str">
        <f aca="false">IF(Q141="","",Q141-R141-N(I141))</f>
        <v/>
      </c>
      <c r="T141" s="14" t="str">
        <f aca="true">IF(N141="","",IF(P141&lt;&gt;"",P141-N141,TODAY()-N141))</f>
        <v/>
      </c>
      <c r="U141" s="10"/>
      <c r="V141" s="14" t="str">
        <f aca="true">IF(AND(L141="Listed",N141&lt;&gt;"",P141=""),IF(TODAY()-N141&gt;=Settings!$B$6,"STALE",""),"")</f>
        <v/>
      </c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1"/>
      <c r="J142" s="10"/>
      <c r="K142" s="10"/>
      <c r="L142" s="10"/>
      <c r="M142" s="12"/>
      <c r="N142" s="12"/>
      <c r="O142" s="11"/>
      <c r="P142" s="12"/>
      <c r="Q142" s="11"/>
      <c r="R142" s="13" t="str">
        <f aca="false">IF(Q142="","",ROUND(Q142*IFERROR(INDEX(Settings!$B$2:$B$4,MATCH(K142,Settings!$A$2:$A$4,0)),0)+IFERROR(INDEX(Settings!$C$2:$C$4,MATCH(K142,Settings!$A$2:$A$4,0)),0),2))</f>
        <v/>
      </c>
      <c r="S142" s="13" t="str">
        <f aca="false">IF(Q142="","",Q142-R142-N(I142))</f>
        <v/>
      </c>
      <c r="T142" s="14" t="str">
        <f aca="true">IF(N142="","",IF(P142&lt;&gt;"",P142-N142,TODAY()-N142))</f>
        <v/>
      </c>
      <c r="U142" s="10"/>
      <c r="V142" s="14" t="str">
        <f aca="true">IF(AND(L142="Listed",N142&lt;&gt;"",P142=""),IF(TODAY()-N142&gt;=Settings!$B$6,"STALE",""),"")</f>
        <v/>
      </c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1"/>
      <c r="J143" s="10"/>
      <c r="K143" s="10"/>
      <c r="L143" s="10"/>
      <c r="M143" s="12"/>
      <c r="N143" s="12"/>
      <c r="O143" s="11"/>
      <c r="P143" s="12"/>
      <c r="Q143" s="11"/>
      <c r="R143" s="13" t="str">
        <f aca="false">IF(Q143="","",ROUND(Q143*IFERROR(INDEX(Settings!$B$2:$B$4,MATCH(K143,Settings!$A$2:$A$4,0)),0)+IFERROR(INDEX(Settings!$C$2:$C$4,MATCH(K143,Settings!$A$2:$A$4,0)),0),2))</f>
        <v/>
      </c>
      <c r="S143" s="13" t="str">
        <f aca="false">IF(Q143="","",Q143-R143-N(I143))</f>
        <v/>
      </c>
      <c r="T143" s="14" t="str">
        <f aca="true">IF(N143="","",IF(P143&lt;&gt;"",P143-N143,TODAY()-N143))</f>
        <v/>
      </c>
      <c r="U143" s="10"/>
      <c r="V143" s="14" t="str">
        <f aca="true">IF(AND(L143="Listed",N143&lt;&gt;"",P143=""),IF(TODAY()-N143&gt;=Settings!$B$6,"STALE",""),"")</f>
        <v/>
      </c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1"/>
      <c r="J144" s="10"/>
      <c r="K144" s="10"/>
      <c r="L144" s="10"/>
      <c r="M144" s="12"/>
      <c r="N144" s="12"/>
      <c r="O144" s="11"/>
      <c r="P144" s="12"/>
      <c r="Q144" s="11"/>
      <c r="R144" s="13" t="str">
        <f aca="false">IF(Q144="","",ROUND(Q144*IFERROR(INDEX(Settings!$B$2:$B$4,MATCH(K144,Settings!$A$2:$A$4,0)),0)+IFERROR(INDEX(Settings!$C$2:$C$4,MATCH(K144,Settings!$A$2:$A$4,0)),0),2))</f>
        <v/>
      </c>
      <c r="S144" s="13" t="str">
        <f aca="false">IF(Q144="","",Q144-R144-N(I144))</f>
        <v/>
      </c>
      <c r="T144" s="14" t="str">
        <f aca="true">IF(N144="","",IF(P144&lt;&gt;"",P144-N144,TODAY()-N144))</f>
        <v/>
      </c>
      <c r="U144" s="10"/>
      <c r="V144" s="14" t="str">
        <f aca="true">IF(AND(L144="Listed",N144&lt;&gt;"",P144=""),IF(TODAY()-N144&gt;=Settings!$B$6,"STALE",""),"")</f>
        <v/>
      </c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1"/>
      <c r="J145" s="10"/>
      <c r="K145" s="10"/>
      <c r="L145" s="10"/>
      <c r="M145" s="12"/>
      <c r="N145" s="12"/>
      <c r="O145" s="11"/>
      <c r="P145" s="12"/>
      <c r="Q145" s="11"/>
      <c r="R145" s="13" t="str">
        <f aca="false">IF(Q145="","",ROUND(Q145*IFERROR(INDEX(Settings!$B$2:$B$4,MATCH(K145,Settings!$A$2:$A$4,0)),0)+IFERROR(INDEX(Settings!$C$2:$C$4,MATCH(K145,Settings!$A$2:$A$4,0)),0),2))</f>
        <v/>
      </c>
      <c r="S145" s="13" t="str">
        <f aca="false">IF(Q145="","",Q145-R145-N(I145))</f>
        <v/>
      </c>
      <c r="T145" s="14" t="str">
        <f aca="true">IF(N145="","",IF(P145&lt;&gt;"",P145-N145,TODAY()-N145))</f>
        <v/>
      </c>
      <c r="U145" s="10"/>
      <c r="V145" s="14" t="str">
        <f aca="true">IF(AND(L145="Listed",N145&lt;&gt;"",P145=""),IF(TODAY()-N145&gt;=Settings!$B$6,"STALE",""),"")</f>
        <v/>
      </c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1"/>
      <c r="J146" s="10"/>
      <c r="K146" s="10"/>
      <c r="L146" s="10"/>
      <c r="M146" s="12"/>
      <c r="N146" s="12"/>
      <c r="O146" s="11"/>
      <c r="P146" s="12"/>
      <c r="Q146" s="11"/>
      <c r="R146" s="13" t="str">
        <f aca="false">IF(Q146="","",ROUND(Q146*IFERROR(INDEX(Settings!$B$2:$B$4,MATCH(K146,Settings!$A$2:$A$4,0)),0)+IFERROR(INDEX(Settings!$C$2:$C$4,MATCH(K146,Settings!$A$2:$A$4,0)),0),2))</f>
        <v/>
      </c>
      <c r="S146" s="13" t="str">
        <f aca="false">IF(Q146="","",Q146-R146-N(I146))</f>
        <v/>
      </c>
      <c r="T146" s="14" t="str">
        <f aca="true">IF(N146="","",IF(P146&lt;&gt;"",P146-N146,TODAY()-N146))</f>
        <v/>
      </c>
      <c r="U146" s="10"/>
      <c r="V146" s="14" t="str">
        <f aca="true">IF(AND(L146="Listed",N146&lt;&gt;"",P146=""),IF(TODAY()-N146&gt;=Settings!$B$6,"STALE",""),"")</f>
        <v/>
      </c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1"/>
      <c r="J147" s="10"/>
      <c r="K147" s="10"/>
      <c r="L147" s="10"/>
      <c r="M147" s="12"/>
      <c r="N147" s="12"/>
      <c r="O147" s="11"/>
      <c r="P147" s="12"/>
      <c r="Q147" s="11"/>
      <c r="R147" s="13" t="str">
        <f aca="false">IF(Q147="","",ROUND(Q147*IFERROR(INDEX(Settings!$B$2:$B$4,MATCH(K147,Settings!$A$2:$A$4,0)),0)+IFERROR(INDEX(Settings!$C$2:$C$4,MATCH(K147,Settings!$A$2:$A$4,0)),0),2))</f>
        <v/>
      </c>
      <c r="S147" s="13" t="str">
        <f aca="false">IF(Q147="","",Q147-R147-N(I147))</f>
        <v/>
      </c>
      <c r="T147" s="14" t="str">
        <f aca="true">IF(N147="","",IF(P147&lt;&gt;"",P147-N147,TODAY()-N147))</f>
        <v/>
      </c>
      <c r="U147" s="10"/>
      <c r="V147" s="14" t="str">
        <f aca="true">IF(AND(L147="Listed",N147&lt;&gt;"",P147=""),IF(TODAY()-N147&gt;=Settings!$B$6,"STALE",""),"")</f>
        <v/>
      </c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1"/>
      <c r="J148" s="10"/>
      <c r="K148" s="10"/>
      <c r="L148" s="10"/>
      <c r="M148" s="12"/>
      <c r="N148" s="12"/>
      <c r="O148" s="11"/>
      <c r="P148" s="12"/>
      <c r="Q148" s="11"/>
      <c r="R148" s="13" t="str">
        <f aca="false">IF(Q148="","",ROUND(Q148*IFERROR(INDEX(Settings!$B$2:$B$4,MATCH(K148,Settings!$A$2:$A$4,0)),0)+IFERROR(INDEX(Settings!$C$2:$C$4,MATCH(K148,Settings!$A$2:$A$4,0)),0),2))</f>
        <v/>
      </c>
      <c r="S148" s="13" t="str">
        <f aca="false">IF(Q148="","",Q148-R148-N(I148))</f>
        <v/>
      </c>
      <c r="T148" s="14" t="str">
        <f aca="true">IF(N148="","",IF(P148&lt;&gt;"",P148-N148,TODAY()-N148))</f>
        <v/>
      </c>
      <c r="U148" s="10"/>
      <c r="V148" s="14" t="str">
        <f aca="true">IF(AND(L148="Listed",N148&lt;&gt;"",P148=""),IF(TODAY()-N148&gt;=Settings!$B$6,"STALE",""),"")</f>
        <v/>
      </c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1"/>
      <c r="J149" s="10"/>
      <c r="K149" s="10"/>
      <c r="L149" s="10"/>
      <c r="M149" s="12"/>
      <c r="N149" s="12"/>
      <c r="O149" s="11"/>
      <c r="P149" s="12"/>
      <c r="Q149" s="11"/>
      <c r="R149" s="13" t="str">
        <f aca="false">IF(Q149="","",ROUND(Q149*IFERROR(INDEX(Settings!$B$2:$B$4,MATCH(K149,Settings!$A$2:$A$4,0)),0)+IFERROR(INDEX(Settings!$C$2:$C$4,MATCH(K149,Settings!$A$2:$A$4,0)),0),2))</f>
        <v/>
      </c>
      <c r="S149" s="13" t="str">
        <f aca="false">IF(Q149="","",Q149-R149-N(I149))</f>
        <v/>
      </c>
      <c r="T149" s="14" t="str">
        <f aca="true">IF(N149="","",IF(P149&lt;&gt;"",P149-N149,TODAY()-N149))</f>
        <v/>
      </c>
      <c r="U149" s="10"/>
      <c r="V149" s="14" t="str">
        <f aca="true">IF(AND(L149="Listed",N149&lt;&gt;"",P149=""),IF(TODAY()-N149&gt;=Settings!$B$6,"STALE",""),"")</f>
        <v/>
      </c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1"/>
      <c r="J150" s="10"/>
      <c r="K150" s="10"/>
      <c r="L150" s="10"/>
      <c r="M150" s="12"/>
      <c r="N150" s="12"/>
      <c r="O150" s="11"/>
      <c r="P150" s="12"/>
      <c r="Q150" s="11"/>
      <c r="R150" s="13" t="str">
        <f aca="false">IF(Q150="","",ROUND(Q150*IFERROR(INDEX(Settings!$B$2:$B$4,MATCH(K150,Settings!$A$2:$A$4,0)),0)+IFERROR(INDEX(Settings!$C$2:$C$4,MATCH(K150,Settings!$A$2:$A$4,0)),0),2))</f>
        <v/>
      </c>
      <c r="S150" s="13" t="str">
        <f aca="false">IF(Q150="","",Q150-R150-N(I150))</f>
        <v/>
      </c>
      <c r="T150" s="14" t="str">
        <f aca="true">IF(N150="","",IF(P150&lt;&gt;"",P150-N150,TODAY()-N150))</f>
        <v/>
      </c>
      <c r="U150" s="10"/>
      <c r="V150" s="14" t="str">
        <f aca="true">IF(AND(L150="Listed",N150&lt;&gt;"",P150=""),IF(TODAY()-N150&gt;=Settings!$B$6,"STALE",""),"")</f>
        <v/>
      </c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1"/>
      <c r="J151" s="10"/>
      <c r="K151" s="10"/>
      <c r="L151" s="10"/>
      <c r="M151" s="12"/>
      <c r="N151" s="12"/>
      <c r="O151" s="11"/>
      <c r="P151" s="12"/>
      <c r="Q151" s="11"/>
      <c r="R151" s="13" t="str">
        <f aca="false">IF(Q151="","",ROUND(Q151*IFERROR(INDEX(Settings!$B$2:$B$4,MATCH(K151,Settings!$A$2:$A$4,0)),0)+IFERROR(INDEX(Settings!$C$2:$C$4,MATCH(K151,Settings!$A$2:$A$4,0)),0),2))</f>
        <v/>
      </c>
      <c r="S151" s="13" t="str">
        <f aca="false">IF(Q151="","",Q151-R151-N(I151))</f>
        <v/>
      </c>
      <c r="T151" s="14" t="str">
        <f aca="true">IF(N151="","",IF(P151&lt;&gt;"",P151-N151,TODAY()-N151))</f>
        <v/>
      </c>
      <c r="U151" s="10"/>
      <c r="V151" s="14" t="str">
        <f aca="true">IF(AND(L151="Listed",N151&lt;&gt;"",P151=""),IF(TODAY()-N151&gt;=Settings!$B$6,"STALE",""),"")</f>
        <v/>
      </c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1"/>
      <c r="J152" s="10"/>
      <c r="K152" s="10"/>
      <c r="L152" s="10"/>
      <c r="M152" s="12"/>
      <c r="N152" s="12"/>
      <c r="O152" s="11"/>
      <c r="P152" s="12"/>
      <c r="Q152" s="11"/>
      <c r="R152" s="13" t="str">
        <f aca="false">IF(Q152="","",ROUND(Q152*IFERROR(INDEX(Settings!$B$2:$B$4,MATCH(K152,Settings!$A$2:$A$4,0)),0)+IFERROR(INDEX(Settings!$C$2:$C$4,MATCH(K152,Settings!$A$2:$A$4,0)),0),2))</f>
        <v/>
      </c>
      <c r="S152" s="13" t="str">
        <f aca="false">IF(Q152="","",Q152-R152-N(I152))</f>
        <v/>
      </c>
      <c r="T152" s="14" t="str">
        <f aca="true">IF(N152="","",IF(P152&lt;&gt;"",P152-N152,TODAY()-N152))</f>
        <v/>
      </c>
      <c r="U152" s="10"/>
      <c r="V152" s="14" t="str">
        <f aca="true">IF(AND(L152="Listed",N152&lt;&gt;"",P152=""),IF(TODAY()-N152&gt;=Settings!$B$6,"STALE",""),"")</f>
        <v/>
      </c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1"/>
      <c r="J153" s="10"/>
      <c r="K153" s="10"/>
      <c r="L153" s="10"/>
      <c r="M153" s="12"/>
      <c r="N153" s="12"/>
      <c r="O153" s="11"/>
      <c r="P153" s="12"/>
      <c r="Q153" s="11"/>
      <c r="R153" s="13" t="str">
        <f aca="false">IF(Q153="","",ROUND(Q153*IFERROR(INDEX(Settings!$B$2:$B$4,MATCH(K153,Settings!$A$2:$A$4,0)),0)+IFERROR(INDEX(Settings!$C$2:$C$4,MATCH(K153,Settings!$A$2:$A$4,0)),0),2))</f>
        <v/>
      </c>
      <c r="S153" s="13" t="str">
        <f aca="false">IF(Q153="","",Q153-R153-N(I153))</f>
        <v/>
      </c>
      <c r="T153" s="14" t="str">
        <f aca="true">IF(N153="","",IF(P153&lt;&gt;"",P153-N153,TODAY()-N153))</f>
        <v/>
      </c>
      <c r="U153" s="10"/>
      <c r="V153" s="14" t="str">
        <f aca="true">IF(AND(L153="Listed",N153&lt;&gt;"",P153=""),IF(TODAY()-N153&gt;=Settings!$B$6,"STALE",""),"")</f>
        <v/>
      </c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1"/>
      <c r="J154" s="10"/>
      <c r="K154" s="10"/>
      <c r="L154" s="10"/>
      <c r="M154" s="12"/>
      <c r="N154" s="12"/>
      <c r="O154" s="11"/>
      <c r="P154" s="12"/>
      <c r="Q154" s="11"/>
      <c r="R154" s="13" t="str">
        <f aca="false">IF(Q154="","",ROUND(Q154*IFERROR(INDEX(Settings!$B$2:$B$4,MATCH(K154,Settings!$A$2:$A$4,0)),0)+IFERROR(INDEX(Settings!$C$2:$C$4,MATCH(K154,Settings!$A$2:$A$4,0)),0),2))</f>
        <v/>
      </c>
      <c r="S154" s="13" t="str">
        <f aca="false">IF(Q154="","",Q154-R154-N(I154))</f>
        <v/>
      </c>
      <c r="T154" s="14" t="str">
        <f aca="true">IF(N154="","",IF(P154&lt;&gt;"",P154-N154,TODAY()-N154))</f>
        <v/>
      </c>
      <c r="U154" s="10"/>
      <c r="V154" s="14" t="str">
        <f aca="true">IF(AND(L154="Listed",N154&lt;&gt;"",P154=""),IF(TODAY()-N154&gt;=Settings!$B$6,"STALE",""),"")</f>
        <v/>
      </c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1"/>
      <c r="J155" s="10"/>
      <c r="K155" s="10"/>
      <c r="L155" s="10"/>
      <c r="M155" s="12"/>
      <c r="N155" s="12"/>
      <c r="O155" s="11"/>
      <c r="P155" s="12"/>
      <c r="Q155" s="11"/>
      <c r="R155" s="13" t="str">
        <f aca="false">IF(Q155="","",ROUND(Q155*IFERROR(INDEX(Settings!$B$2:$B$4,MATCH(K155,Settings!$A$2:$A$4,0)),0)+IFERROR(INDEX(Settings!$C$2:$C$4,MATCH(K155,Settings!$A$2:$A$4,0)),0),2))</f>
        <v/>
      </c>
      <c r="S155" s="13" t="str">
        <f aca="false">IF(Q155="","",Q155-R155-N(I155))</f>
        <v/>
      </c>
      <c r="T155" s="14" t="str">
        <f aca="true">IF(N155="","",IF(P155&lt;&gt;"",P155-N155,TODAY()-N155))</f>
        <v/>
      </c>
      <c r="U155" s="10"/>
      <c r="V155" s="14" t="str">
        <f aca="true">IF(AND(L155="Listed",N155&lt;&gt;"",P155=""),IF(TODAY()-N155&gt;=Settings!$B$6,"STALE",""),"")</f>
        <v/>
      </c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1"/>
      <c r="J156" s="10"/>
      <c r="K156" s="10"/>
      <c r="L156" s="10"/>
      <c r="M156" s="12"/>
      <c r="N156" s="12"/>
      <c r="O156" s="11"/>
      <c r="P156" s="12"/>
      <c r="Q156" s="11"/>
      <c r="R156" s="13" t="str">
        <f aca="false">IF(Q156="","",ROUND(Q156*IFERROR(INDEX(Settings!$B$2:$B$4,MATCH(K156,Settings!$A$2:$A$4,0)),0)+IFERROR(INDEX(Settings!$C$2:$C$4,MATCH(K156,Settings!$A$2:$A$4,0)),0),2))</f>
        <v/>
      </c>
      <c r="S156" s="13" t="str">
        <f aca="false">IF(Q156="","",Q156-R156-N(I156))</f>
        <v/>
      </c>
      <c r="T156" s="14" t="str">
        <f aca="true">IF(N156="","",IF(P156&lt;&gt;"",P156-N156,TODAY()-N156))</f>
        <v/>
      </c>
      <c r="U156" s="10"/>
      <c r="V156" s="14" t="str">
        <f aca="true">IF(AND(L156="Listed",N156&lt;&gt;"",P156=""),IF(TODAY()-N156&gt;=Settings!$B$6,"STALE",""),"")</f>
        <v/>
      </c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1"/>
      <c r="J157" s="10"/>
      <c r="K157" s="10"/>
      <c r="L157" s="10"/>
      <c r="M157" s="12"/>
      <c r="N157" s="12"/>
      <c r="O157" s="11"/>
      <c r="P157" s="12"/>
      <c r="Q157" s="11"/>
      <c r="R157" s="13" t="str">
        <f aca="false">IF(Q157="","",ROUND(Q157*IFERROR(INDEX(Settings!$B$2:$B$4,MATCH(K157,Settings!$A$2:$A$4,0)),0)+IFERROR(INDEX(Settings!$C$2:$C$4,MATCH(K157,Settings!$A$2:$A$4,0)),0),2))</f>
        <v/>
      </c>
      <c r="S157" s="13" t="str">
        <f aca="false">IF(Q157="","",Q157-R157-N(I157))</f>
        <v/>
      </c>
      <c r="T157" s="14" t="str">
        <f aca="true">IF(N157="","",IF(P157&lt;&gt;"",P157-N157,TODAY()-N157))</f>
        <v/>
      </c>
      <c r="U157" s="10"/>
      <c r="V157" s="14" t="str">
        <f aca="true">IF(AND(L157="Listed",N157&lt;&gt;"",P157=""),IF(TODAY()-N157&gt;=Settings!$B$6,"STALE",""),"")</f>
        <v/>
      </c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1"/>
      <c r="J158" s="10"/>
      <c r="K158" s="10"/>
      <c r="L158" s="10"/>
      <c r="M158" s="12"/>
      <c r="N158" s="12"/>
      <c r="O158" s="11"/>
      <c r="P158" s="12"/>
      <c r="Q158" s="11"/>
      <c r="R158" s="13" t="str">
        <f aca="false">IF(Q158="","",ROUND(Q158*IFERROR(INDEX(Settings!$B$2:$B$4,MATCH(K158,Settings!$A$2:$A$4,0)),0)+IFERROR(INDEX(Settings!$C$2:$C$4,MATCH(K158,Settings!$A$2:$A$4,0)),0),2))</f>
        <v/>
      </c>
      <c r="S158" s="13" t="str">
        <f aca="false">IF(Q158="","",Q158-R158-N(I158))</f>
        <v/>
      </c>
      <c r="T158" s="14" t="str">
        <f aca="true">IF(N158="","",IF(P158&lt;&gt;"",P158-N158,TODAY()-N158))</f>
        <v/>
      </c>
      <c r="U158" s="10"/>
      <c r="V158" s="14" t="str">
        <f aca="true">IF(AND(L158="Listed",N158&lt;&gt;"",P158=""),IF(TODAY()-N158&gt;=Settings!$B$6,"STALE",""),"")</f>
        <v/>
      </c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1"/>
      <c r="J159" s="10"/>
      <c r="K159" s="10"/>
      <c r="L159" s="10"/>
      <c r="M159" s="12"/>
      <c r="N159" s="12"/>
      <c r="O159" s="11"/>
      <c r="P159" s="12"/>
      <c r="Q159" s="11"/>
      <c r="R159" s="13" t="str">
        <f aca="false">IF(Q159="","",ROUND(Q159*IFERROR(INDEX(Settings!$B$2:$B$4,MATCH(K159,Settings!$A$2:$A$4,0)),0)+IFERROR(INDEX(Settings!$C$2:$C$4,MATCH(K159,Settings!$A$2:$A$4,0)),0),2))</f>
        <v/>
      </c>
      <c r="S159" s="13" t="str">
        <f aca="false">IF(Q159="","",Q159-R159-N(I159))</f>
        <v/>
      </c>
      <c r="T159" s="14" t="str">
        <f aca="true">IF(N159="","",IF(P159&lt;&gt;"",P159-N159,TODAY()-N159))</f>
        <v/>
      </c>
      <c r="U159" s="10"/>
      <c r="V159" s="14" t="str">
        <f aca="true">IF(AND(L159="Listed",N159&lt;&gt;"",P159=""),IF(TODAY()-N159&gt;=Settings!$B$6,"STALE",""),"")</f>
        <v/>
      </c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1"/>
      <c r="J160" s="10"/>
      <c r="K160" s="10"/>
      <c r="L160" s="10"/>
      <c r="M160" s="12"/>
      <c r="N160" s="12"/>
      <c r="O160" s="11"/>
      <c r="P160" s="12"/>
      <c r="Q160" s="11"/>
      <c r="R160" s="13" t="str">
        <f aca="false">IF(Q160="","",ROUND(Q160*IFERROR(INDEX(Settings!$B$2:$B$4,MATCH(K160,Settings!$A$2:$A$4,0)),0)+IFERROR(INDEX(Settings!$C$2:$C$4,MATCH(K160,Settings!$A$2:$A$4,0)),0),2))</f>
        <v/>
      </c>
      <c r="S160" s="13" t="str">
        <f aca="false">IF(Q160="","",Q160-R160-N(I160))</f>
        <v/>
      </c>
      <c r="T160" s="14" t="str">
        <f aca="true">IF(N160="","",IF(P160&lt;&gt;"",P160-N160,TODAY()-N160))</f>
        <v/>
      </c>
      <c r="U160" s="10"/>
      <c r="V160" s="14" t="str">
        <f aca="true">IF(AND(L160="Listed",N160&lt;&gt;"",P160=""),IF(TODAY()-N160&gt;=Settings!$B$6,"STALE",""),"")</f>
        <v/>
      </c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1"/>
      <c r="J161" s="10"/>
      <c r="K161" s="10"/>
      <c r="L161" s="10"/>
      <c r="M161" s="12"/>
      <c r="N161" s="12"/>
      <c r="O161" s="11"/>
      <c r="P161" s="12"/>
      <c r="Q161" s="11"/>
      <c r="R161" s="13" t="str">
        <f aca="false">IF(Q161="","",ROUND(Q161*IFERROR(INDEX(Settings!$B$2:$B$4,MATCH(K161,Settings!$A$2:$A$4,0)),0)+IFERROR(INDEX(Settings!$C$2:$C$4,MATCH(K161,Settings!$A$2:$A$4,0)),0),2))</f>
        <v/>
      </c>
      <c r="S161" s="13" t="str">
        <f aca="false">IF(Q161="","",Q161-R161-N(I161))</f>
        <v/>
      </c>
      <c r="T161" s="14" t="str">
        <f aca="true">IF(N161="","",IF(P161&lt;&gt;"",P161-N161,TODAY()-N161))</f>
        <v/>
      </c>
      <c r="U161" s="10"/>
      <c r="V161" s="14" t="str">
        <f aca="true">IF(AND(L161="Listed",N161&lt;&gt;"",P161=""),IF(TODAY()-N161&gt;=Settings!$B$6,"STALE",""),"")</f>
        <v/>
      </c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1"/>
      <c r="J162" s="10"/>
      <c r="K162" s="10"/>
      <c r="L162" s="10"/>
      <c r="M162" s="12"/>
      <c r="N162" s="12"/>
      <c r="O162" s="11"/>
      <c r="P162" s="12"/>
      <c r="Q162" s="11"/>
      <c r="R162" s="13" t="str">
        <f aca="false">IF(Q162="","",ROUND(Q162*IFERROR(INDEX(Settings!$B$2:$B$4,MATCH(K162,Settings!$A$2:$A$4,0)),0)+IFERROR(INDEX(Settings!$C$2:$C$4,MATCH(K162,Settings!$A$2:$A$4,0)),0),2))</f>
        <v/>
      </c>
      <c r="S162" s="13" t="str">
        <f aca="false">IF(Q162="","",Q162-R162-N(I162))</f>
        <v/>
      </c>
      <c r="T162" s="14" t="str">
        <f aca="true">IF(N162="","",IF(P162&lt;&gt;"",P162-N162,TODAY()-N162))</f>
        <v/>
      </c>
      <c r="U162" s="10"/>
      <c r="V162" s="14" t="str">
        <f aca="true">IF(AND(L162="Listed",N162&lt;&gt;"",P162=""),IF(TODAY()-N162&gt;=Settings!$B$6,"STALE",""),"")</f>
        <v/>
      </c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1"/>
      <c r="J163" s="10"/>
      <c r="K163" s="10"/>
      <c r="L163" s="10"/>
      <c r="M163" s="12"/>
      <c r="N163" s="12"/>
      <c r="O163" s="11"/>
      <c r="P163" s="12"/>
      <c r="Q163" s="11"/>
      <c r="R163" s="13" t="str">
        <f aca="false">IF(Q163="","",ROUND(Q163*IFERROR(INDEX(Settings!$B$2:$B$4,MATCH(K163,Settings!$A$2:$A$4,0)),0)+IFERROR(INDEX(Settings!$C$2:$C$4,MATCH(K163,Settings!$A$2:$A$4,0)),0),2))</f>
        <v/>
      </c>
      <c r="S163" s="13" t="str">
        <f aca="false">IF(Q163="","",Q163-R163-N(I163))</f>
        <v/>
      </c>
      <c r="T163" s="14" t="str">
        <f aca="true">IF(N163="","",IF(P163&lt;&gt;"",P163-N163,TODAY()-N163))</f>
        <v/>
      </c>
      <c r="U163" s="10"/>
      <c r="V163" s="14" t="str">
        <f aca="true">IF(AND(L163="Listed",N163&lt;&gt;"",P163=""),IF(TODAY()-N163&gt;=Settings!$B$6,"STALE",""),"")</f>
        <v/>
      </c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1"/>
      <c r="J164" s="10"/>
      <c r="K164" s="10"/>
      <c r="L164" s="10"/>
      <c r="M164" s="12"/>
      <c r="N164" s="12"/>
      <c r="O164" s="11"/>
      <c r="P164" s="12"/>
      <c r="Q164" s="11"/>
      <c r="R164" s="13" t="str">
        <f aca="false">IF(Q164="","",ROUND(Q164*IFERROR(INDEX(Settings!$B$2:$B$4,MATCH(K164,Settings!$A$2:$A$4,0)),0)+IFERROR(INDEX(Settings!$C$2:$C$4,MATCH(K164,Settings!$A$2:$A$4,0)),0),2))</f>
        <v/>
      </c>
      <c r="S164" s="13" t="str">
        <f aca="false">IF(Q164="","",Q164-R164-N(I164))</f>
        <v/>
      </c>
      <c r="T164" s="14" t="str">
        <f aca="true">IF(N164="","",IF(P164&lt;&gt;"",P164-N164,TODAY()-N164))</f>
        <v/>
      </c>
      <c r="U164" s="10"/>
      <c r="V164" s="14" t="str">
        <f aca="true">IF(AND(L164="Listed",N164&lt;&gt;"",P164=""),IF(TODAY()-N164&gt;=Settings!$B$6,"STALE",""),"")</f>
        <v/>
      </c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1"/>
      <c r="J165" s="10"/>
      <c r="K165" s="10"/>
      <c r="L165" s="10"/>
      <c r="M165" s="12"/>
      <c r="N165" s="12"/>
      <c r="O165" s="11"/>
      <c r="P165" s="12"/>
      <c r="Q165" s="11"/>
      <c r="R165" s="13" t="str">
        <f aca="false">IF(Q165="","",ROUND(Q165*IFERROR(INDEX(Settings!$B$2:$B$4,MATCH(K165,Settings!$A$2:$A$4,0)),0)+IFERROR(INDEX(Settings!$C$2:$C$4,MATCH(K165,Settings!$A$2:$A$4,0)),0),2))</f>
        <v/>
      </c>
      <c r="S165" s="13" t="str">
        <f aca="false">IF(Q165="","",Q165-R165-N(I165))</f>
        <v/>
      </c>
      <c r="T165" s="14" t="str">
        <f aca="true">IF(N165="","",IF(P165&lt;&gt;"",P165-N165,TODAY()-N165))</f>
        <v/>
      </c>
      <c r="U165" s="10"/>
      <c r="V165" s="14" t="str">
        <f aca="true">IF(AND(L165="Listed",N165&lt;&gt;"",P165=""),IF(TODAY()-N165&gt;=Settings!$B$6,"STALE",""),"")</f>
        <v/>
      </c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1"/>
      <c r="J166" s="10"/>
      <c r="K166" s="10"/>
      <c r="L166" s="10"/>
      <c r="M166" s="12"/>
      <c r="N166" s="12"/>
      <c r="O166" s="11"/>
      <c r="P166" s="12"/>
      <c r="Q166" s="11"/>
      <c r="R166" s="13" t="str">
        <f aca="false">IF(Q166="","",ROUND(Q166*IFERROR(INDEX(Settings!$B$2:$B$4,MATCH(K166,Settings!$A$2:$A$4,0)),0)+IFERROR(INDEX(Settings!$C$2:$C$4,MATCH(K166,Settings!$A$2:$A$4,0)),0),2))</f>
        <v/>
      </c>
      <c r="S166" s="13" t="str">
        <f aca="false">IF(Q166="","",Q166-R166-N(I166))</f>
        <v/>
      </c>
      <c r="T166" s="14" t="str">
        <f aca="true">IF(N166="","",IF(P166&lt;&gt;"",P166-N166,TODAY()-N166))</f>
        <v/>
      </c>
      <c r="U166" s="10"/>
      <c r="V166" s="14" t="str">
        <f aca="true">IF(AND(L166="Listed",N166&lt;&gt;"",P166=""),IF(TODAY()-N166&gt;=Settings!$B$6,"STALE",""),"")</f>
        <v/>
      </c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1"/>
      <c r="J167" s="10"/>
      <c r="K167" s="10"/>
      <c r="L167" s="10"/>
      <c r="M167" s="12"/>
      <c r="N167" s="12"/>
      <c r="O167" s="11"/>
      <c r="P167" s="12"/>
      <c r="Q167" s="11"/>
      <c r="R167" s="13" t="str">
        <f aca="false">IF(Q167="","",ROUND(Q167*IFERROR(INDEX(Settings!$B$2:$B$4,MATCH(K167,Settings!$A$2:$A$4,0)),0)+IFERROR(INDEX(Settings!$C$2:$C$4,MATCH(K167,Settings!$A$2:$A$4,0)),0),2))</f>
        <v/>
      </c>
      <c r="S167" s="13" t="str">
        <f aca="false">IF(Q167="","",Q167-R167-N(I167))</f>
        <v/>
      </c>
      <c r="T167" s="14" t="str">
        <f aca="true">IF(N167="","",IF(P167&lt;&gt;"",P167-N167,TODAY()-N167))</f>
        <v/>
      </c>
      <c r="U167" s="10"/>
      <c r="V167" s="14" t="str">
        <f aca="true">IF(AND(L167="Listed",N167&lt;&gt;"",P167=""),IF(TODAY()-N167&gt;=Settings!$B$6,"STALE",""),"")</f>
        <v/>
      </c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1"/>
      <c r="J168" s="10"/>
      <c r="K168" s="10"/>
      <c r="L168" s="10"/>
      <c r="M168" s="12"/>
      <c r="N168" s="12"/>
      <c r="O168" s="11"/>
      <c r="P168" s="12"/>
      <c r="Q168" s="11"/>
      <c r="R168" s="13" t="str">
        <f aca="false">IF(Q168="","",ROUND(Q168*IFERROR(INDEX(Settings!$B$2:$B$4,MATCH(K168,Settings!$A$2:$A$4,0)),0)+IFERROR(INDEX(Settings!$C$2:$C$4,MATCH(K168,Settings!$A$2:$A$4,0)),0),2))</f>
        <v/>
      </c>
      <c r="S168" s="13" t="str">
        <f aca="false">IF(Q168="","",Q168-R168-N(I168))</f>
        <v/>
      </c>
      <c r="T168" s="14" t="str">
        <f aca="true">IF(N168="","",IF(P168&lt;&gt;"",P168-N168,TODAY()-N168))</f>
        <v/>
      </c>
      <c r="U168" s="10"/>
      <c r="V168" s="14" t="str">
        <f aca="true">IF(AND(L168="Listed",N168&lt;&gt;"",P168=""),IF(TODAY()-N168&gt;=Settings!$B$6,"STALE",""),"")</f>
        <v/>
      </c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1"/>
      <c r="J169" s="10"/>
      <c r="K169" s="10"/>
      <c r="L169" s="10"/>
      <c r="M169" s="12"/>
      <c r="N169" s="12"/>
      <c r="O169" s="11"/>
      <c r="P169" s="12"/>
      <c r="Q169" s="11"/>
      <c r="R169" s="13" t="str">
        <f aca="false">IF(Q169="","",ROUND(Q169*IFERROR(INDEX(Settings!$B$2:$B$4,MATCH(K169,Settings!$A$2:$A$4,0)),0)+IFERROR(INDEX(Settings!$C$2:$C$4,MATCH(K169,Settings!$A$2:$A$4,0)),0),2))</f>
        <v/>
      </c>
      <c r="S169" s="13" t="str">
        <f aca="false">IF(Q169="","",Q169-R169-N(I169))</f>
        <v/>
      </c>
      <c r="T169" s="14" t="str">
        <f aca="true">IF(N169="","",IF(P169&lt;&gt;"",P169-N169,TODAY()-N169))</f>
        <v/>
      </c>
      <c r="U169" s="10"/>
      <c r="V169" s="14" t="str">
        <f aca="true">IF(AND(L169="Listed",N169&lt;&gt;"",P169=""),IF(TODAY()-N169&gt;=Settings!$B$6,"STALE",""),"")</f>
        <v/>
      </c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1"/>
      <c r="J170" s="10"/>
      <c r="K170" s="10"/>
      <c r="L170" s="10"/>
      <c r="M170" s="12"/>
      <c r="N170" s="12"/>
      <c r="O170" s="11"/>
      <c r="P170" s="12"/>
      <c r="Q170" s="11"/>
      <c r="R170" s="13" t="str">
        <f aca="false">IF(Q170="","",ROUND(Q170*IFERROR(INDEX(Settings!$B$2:$B$4,MATCH(K170,Settings!$A$2:$A$4,0)),0)+IFERROR(INDEX(Settings!$C$2:$C$4,MATCH(K170,Settings!$A$2:$A$4,0)),0),2))</f>
        <v/>
      </c>
      <c r="S170" s="13" t="str">
        <f aca="false">IF(Q170="","",Q170-R170-N(I170))</f>
        <v/>
      </c>
      <c r="T170" s="14" t="str">
        <f aca="true">IF(N170="","",IF(P170&lt;&gt;"",P170-N170,TODAY()-N170))</f>
        <v/>
      </c>
      <c r="U170" s="10"/>
      <c r="V170" s="14" t="str">
        <f aca="true">IF(AND(L170="Listed",N170&lt;&gt;"",P170=""),IF(TODAY()-N170&gt;=Settings!$B$6,"STALE",""),"")</f>
        <v/>
      </c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1"/>
      <c r="J171" s="10"/>
      <c r="K171" s="10"/>
      <c r="L171" s="10"/>
      <c r="M171" s="12"/>
      <c r="N171" s="12"/>
      <c r="O171" s="11"/>
      <c r="P171" s="12"/>
      <c r="Q171" s="11"/>
      <c r="R171" s="13" t="str">
        <f aca="false">IF(Q171="","",ROUND(Q171*IFERROR(INDEX(Settings!$B$2:$B$4,MATCH(K171,Settings!$A$2:$A$4,0)),0)+IFERROR(INDEX(Settings!$C$2:$C$4,MATCH(K171,Settings!$A$2:$A$4,0)),0),2))</f>
        <v/>
      </c>
      <c r="S171" s="13" t="str">
        <f aca="false">IF(Q171="","",Q171-R171-N(I171))</f>
        <v/>
      </c>
      <c r="T171" s="14" t="str">
        <f aca="true">IF(N171="","",IF(P171&lt;&gt;"",P171-N171,TODAY()-N171))</f>
        <v/>
      </c>
      <c r="U171" s="10"/>
      <c r="V171" s="14" t="str">
        <f aca="true">IF(AND(L171="Listed",N171&lt;&gt;"",P171=""),IF(TODAY()-N171&gt;=Settings!$B$6,"STALE",""),"")</f>
        <v/>
      </c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1"/>
      <c r="J172" s="10"/>
      <c r="K172" s="10"/>
      <c r="L172" s="10"/>
      <c r="M172" s="12"/>
      <c r="N172" s="12"/>
      <c r="O172" s="11"/>
      <c r="P172" s="12"/>
      <c r="Q172" s="11"/>
      <c r="R172" s="13" t="str">
        <f aca="false">IF(Q172="","",ROUND(Q172*IFERROR(INDEX(Settings!$B$2:$B$4,MATCH(K172,Settings!$A$2:$A$4,0)),0)+IFERROR(INDEX(Settings!$C$2:$C$4,MATCH(K172,Settings!$A$2:$A$4,0)),0),2))</f>
        <v/>
      </c>
      <c r="S172" s="13" t="str">
        <f aca="false">IF(Q172="","",Q172-R172-N(I172))</f>
        <v/>
      </c>
      <c r="T172" s="14" t="str">
        <f aca="true">IF(N172="","",IF(P172&lt;&gt;"",P172-N172,TODAY()-N172))</f>
        <v/>
      </c>
      <c r="U172" s="10"/>
      <c r="V172" s="14" t="str">
        <f aca="true">IF(AND(L172="Listed",N172&lt;&gt;"",P172=""),IF(TODAY()-N172&gt;=Settings!$B$6,"STALE",""),"")</f>
        <v/>
      </c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1"/>
      <c r="J173" s="10"/>
      <c r="K173" s="10"/>
      <c r="L173" s="10"/>
      <c r="M173" s="12"/>
      <c r="N173" s="12"/>
      <c r="O173" s="11"/>
      <c r="P173" s="12"/>
      <c r="Q173" s="11"/>
      <c r="R173" s="13" t="str">
        <f aca="false">IF(Q173="","",ROUND(Q173*IFERROR(INDEX(Settings!$B$2:$B$4,MATCH(K173,Settings!$A$2:$A$4,0)),0)+IFERROR(INDEX(Settings!$C$2:$C$4,MATCH(K173,Settings!$A$2:$A$4,0)),0),2))</f>
        <v/>
      </c>
      <c r="S173" s="13" t="str">
        <f aca="false">IF(Q173="","",Q173-R173-N(I173))</f>
        <v/>
      </c>
      <c r="T173" s="14" t="str">
        <f aca="true">IF(N173="","",IF(P173&lt;&gt;"",P173-N173,TODAY()-N173))</f>
        <v/>
      </c>
      <c r="U173" s="10"/>
      <c r="V173" s="14" t="str">
        <f aca="true">IF(AND(L173="Listed",N173&lt;&gt;"",P173=""),IF(TODAY()-N173&gt;=Settings!$B$6,"STALE",""),"")</f>
        <v/>
      </c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1"/>
      <c r="J174" s="10"/>
      <c r="K174" s="10"/>
      <c r="L174" s="10"/>
      <c r="M174" s="12"/>
      <c r="N174" s="12"/>
      <c r="O174" s="11"/>
      <c r="P174" s="12"/>
      <c r="Q174" s="11"/>
      <c r="R174" s="13" t="str">
        <f aca="false">IF(Q174="","",ROUND(Q174*IFERROR(INDEX(Settings!$B$2:$B$4,MATCH(K174,Settings!$A$2:$A$4,0)),0)+IFERROR(INDEX(Settings!$C$2:$C$4,MATCH(K174,Settings!$A$2:$A$4,0)),0),2))</f>
        <v/>
      </c>
      <c r="S174" s="13" t="str">
        <f aca="false">IF(Q174="","",Q174-R174-N(I174))</f>
        <v/>
      </c>
      <c r="T174" s="14" t="str">
        <f aca="true">IF(N174="","",IF(P174&lt;&gt;"",P174-N174,TODAY()-N174))</f>
        <v/>
      </c>
      <c r="U174" s="10"/>
      <c r="V174" s="14" t="str">
        <f aca="true">IF(AND(L174="Listed",N174&lt;&gt;"",P174=""),IF(TODAY()-N174&gt;=Settings!$B$6,"STALE",""),"")</f>
        <v/>
      </c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1"/>
      <c r="J175" s="10"/>
      <c r="K175" s="10"/>
      <c r="L175" s="10"/>
      <c r="M175" s="12"/>
      <c r="N175" s="12"/>
      <c r="O175" s="11"/>
      <c r="P175" s="12"/>
      <c r="Q175" s="11"/>
      <c r="R175" s="13" t="str">
        <f aca="false">IF(Q175="","",ROUND(Q175*IFERROR(INDEX(Settings!$B$2:$B$4,MATCH(K175,Settings!$A$2:$A$4,0)),0)+IFERROR(INDEX(Settings!$C$2:$C$4,MATCH(K175,Settings!$A$2:$A$4,0)),0),2))</f>
        <v/>
      </c>
      <c r="S175" s="13" t="str">
        <f aca="false">IF(Q175="","",Q175-R175-N(I175))</f>
        <v/>
      </c>
      <c r="T175" s="14" t="str">
        <f aca="true">IF(N175="","",IF(P175&lt;&gt;"",P175-N175,TODAY()-N175))</f>
        <v/>
      </c>
      <c r="U175" s="10"/>
      <c r="V175" s="14" t="str">
        <f aca="true">IF(AND(L175="Listed",N175&lt;&gt;"",P175=""),IF(TODAY()-N175&gt;=Settings!$B$6,"STALE",""),"")</f>
        <v/>
      </c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1"/>
      <c r="J176" s="10"/>
      <c r="K176" s="10"/>
      <c r="L176" s="10"/>
      <c r="M176" s="12"/>
      <c r="N176" s="12"/>
      <c r="O176" s="11"/>
      <c r="P176" s="12"/>
      <c r="Q176" s="11"/>
      <c r="R176" s="13" t="str">
        <f aca="false">IF(Q176="","",ROUND(Q176*IFERROR(INDEX(Settings!$B$2:$B$4,MATCH(K176,Settings!$A$2:$A$4,0)),0)+IFERROR(INDEX(Settings!$C$2:$C$4,MATCH(K176,Settings!$A$2:$A$4,0)),0),2))</f>
        <v/>
      </c>
      <c r="S176" s="13" t="str">
        <f aca="false">IF(Q176="","",Q176-R176-N(I176))</f>
        <v/>
      </c>
      <c r="T176" s="14" t="str">
        <f aca="true">IF(N176="","",IF(P176&lt;&gt;"",P176-N176,TODAY()-N176))</f>
        <v/>
      </c>
      <c r="U176" s="10"/>
      <c r="V176" s="14" t="str">
        <f aca="true">IF(AND(L176="Listed",N176&lt;&gt;"",P176=""),IF(TODAY()-N176&gt;=Settings!$B$6,"STALE",""),"")</f>
        <v/>
      </c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1"/>
      <c r="J177" s="10"/>
      <c r="K177" s="10"/>
      <c r="L177" s="10"/>
      <c r="M177" s="12"/>
      <c r="N177" s="12"/>
      <c r="O177" s="11"/>
      <c r="P177" s="12"/>
      <c r="Q177" s="11"/>
      <c r="R177" s="13" t="str">
        <f aca="false">IF(Q177="","",ROUND(Q177*IFERROR(INDEX(Settings!$B$2:$B$4,MATCH(K177,Settings!$A$2:$A$4,0)),0)+IFERROR(INDEX(Settings!$C$2:$C$4,MATCH(K177,Settings!$A$2:$A$4,0)),0),2))</f>
        <v/>
      </c>
      <c r="S177" s="13" t="str">
        <f aca="false">IF(Q177="","",Q177-R177-N(I177))</f>
        <v/>
      </c>
      <c r="T177" s="14" t="str">
        <f aca="true">IF(N177="","",IF(P177&lt;&gt;"",P177-N177,TODAY()-N177))</f>
        <v/>
      </c>
      <c r="U177" s="10"/>
      <c r="V177" s="14" t="str">
        <f aca="true">IF(AND(L177="Listed",N177&lt;&gt;"",P177=""),IF(TODAY()-N177&gt;=Settings!$B$6,"STALE",""),"")</f>
        <v/>
      </c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1"/>
      <c r="J178" s="10"/>
      <c r="K178" s="10"/>
      <c r="L178" s="10"/>
      <c r="M178" s="12"/>
      <c r="N178" s="12"/>
      <c r="O178" s="11"/>
      <c r="P178" s="12"/>
      <c r="Q178" s="11"/>
      <c r="R178" s="13" t="str">
        <f aca="false">IF(Q178="","",ROUND(Q178*IFERROR(INDEX(Settings!$B$2:$B$4,MATCH(K178,Settings!$A$2:$A$4,0)),0)+IFERROR(INDEX(Settings!$C$2:$C$4,MATCH(K178,Settings!$A$2:$A$4,0)),0),2))</f>
        <v/>
      </c>
      <c r="S178" s="13" t="str">
        <f aca="false">IF(Q178="","",Q178-R178-N(I178))</f>
        <v/>
      </c>
      <c r="T178" s="14" t="str">
        <f aca="true">IF(N178="","",IF(P178&lt;&gt;"",P178-N178,TODAY()-N178))</f>
        <v/>
      </c>
      <c r="U178" s="10"/>
      <c r="V178" s="14" t="str">
        <f aca="true">IF(AND(L178="Listed",N178&lt;&gt;"",P178=""),IF(TODAY()-N178&gt;=Settings!$B$6,"STALE",""),"")</f>
        <v/>
      </c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1"/>
      <c r="J179" s="10"/>
      <c r="K179" s="10"/>
      <c r="L179" s="10"/>
      <c r="M179" s="12"/>
      <c r="N179" s="12"/>
      <c r="O179" s="11"/>
      <c r="P179" s="12"/>
      <c r="Q179" s="11"/>
      <c r="R179" s="13" t="str">
        <f aca="false">IF(Q179="","",ROUND(Q179*IFERROR(INDEX(Settings!$B$2:$B$4,MATCH(K179,Settings!$A$2:$A$4,0)),0)+IFERROR(INDEX(Settings!$C$2:$C$4,MATCH(K179,Settings!$A$2:$A$4,0)),0),2))</f>
        <v/>
      </c>
      <c r="S179" s="13" t="str">
        <f aca="false">IF(Q179="","",Q179-R179-N(I179))</f>
        <v/>
      </c>
      <c r="T179" s="14" t="str">
        <f aca="true">IF(N179="","",IF(P179&lt;&gt;"",P179-N179,TODAY()-N179))</f>
        <v/>
      </c>
      <c r="U179" s="10"/>
      <c r="V179" s="14" t="str">
        <f aca="true">IF(AND(L179="Listed",N179&lt;&gt;"",P179=""),IF(TODAY()-N179&gt;=Settings!$B$6,"STALE",""),"")</f>
        <v/>
      </c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1"/>
      <c r="J180" s="10"/>
      <c r="K180" s="10"/>
      <c r="L180" s="10"/>
      <c r="M180" s="12"/>
      <c r="N180" s="12"/>
      <c r="O180" s="11"/>
      <c r="P180" s="12"/>
      <c r="Q180" s="11"/>
      <c r="R180" s="13" t="str">
        <f aca="false">IF(Q180="","",ROUND(Q180*IFERROR(INDEX(Settings!$B$2:$B$4,MATCH(K180,Settings!$A$2:$A$4,0)),0)+IFERROR(INDEX(Settings!$C$2:$C$4,MATCH(K180,Settings!$A$2:$A$4,0)),0),2))</f>
        <v/>
      </c>
      <c r="S180" s="13" t="str">
        <f aca="false">IF(Q180="","",Q180-R180-N(I180))</f>
        <v/>
      </c>
      <c r="T180" s="14" t="str">
        <f aca="true">IF(N180="","",IF(P180&lt;&gt;"",P180-N180,TODAY()-N180))</f>
        <v/>
      </c>
      <c r="U180" s="10"/>
      <c r="V180" s="14" t="str">
        <f aca="true">IF(AND(L180="Listed",N180&lt;&gt;"",P180=""),IF(TODAY()-N180&gt;=Settings!$B$6,"STALE",""),"")</f>
        <v/>
      </c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1"/>
      <c r="J181" s="10"/>
      <c r="K181" s="10"/>
      <c r="L181" s="10"/>
      <c r="M181" s="12"/>
      <c r="N181" s="12"/>
      <c r="O181" s="11"/>
      <c r="P181" s="12"/>
      <c r="Q181" s="11"/>
      <c r="R181" s="13" t="str">
        <f aca="false">IF(Q181="","",ROUND(Q181*IFERROR(INDEX(Settings!$B$2:$B$4,MATCH(K181,Settings!$A$2:$A$4,0)),0)+IFERROR(INDEX(Settings!$C$2:$C$4,MATCH(K181,Settings!$A$2:$A$4,0)),0),2))</f>
        <v/>
      </c>
      <c r="S181" s="13" t="str">
        <f aca="false">IF(Q181="","",Q181-R181-N(I181))</f>
        <v/>
      </c>
      <c r="T181" s="14" t="str">
        <f aca="true">IF(N181="","",IF(P181&lt;&gt;"",P181-N181,TODAY()-N181))</f>
        <v/>
      </c>
      <c r="U181" s="10"/>
      <c r="V181" s="14" t="str">
        <f aca="true">IF(AND(L181="Listed",N181&lt;&gt;"",P181=""),IF(TODAY()-N181&gt;=Settings!$B$6,"STALE",""),"")</f>
        <v/>
      </c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1"/>
      <c r="J182" s="10"/>
      <c r="K182" s="10"/>
      <c r="L182" s="10"/>
      <c r="M182" s="12"/>
      <c r="N182" s="12"/>
      <c r="O182" s="11"/>
      <c r="P182" s="12"/>
      <c r="Q182" s="11"/>
      <c r="R182" s="13" t="str">
        <f aca="false">IF(Q182="","",ROUND(Q182*IFERROR(INDEX(Settings!$B$2:$B$4,MATCH(K182,Settings!$A$2:$A$4,0)),0)+IFERROR(INDEX(Settings!$C$2:$C$4,MATCH(K182,Settings!$A$2:$A$4,0)),0),2))</f>
        <v/>
      </c>
      <c r="S182" s="13" t="str">
        <f aca="false">IF(Q182="","",Q182-R182-N(I182))</f>
        <v/>
      </c>
      <c r="T182" s="14" t="str">
        <f aca="true">IF(N182="","",IF(P182&lt;&gt;"",P182-N182,TODAY()-N182))</f>
        <v/>
      </c>
      <c r="U182" s="10"/>
      <c r="V182" s="14" t="str">
        <f aca="true">IF(AND(L182="Listed",N182&lt;&gt;"",P182=""),IF(TODAY()-N182&gt;=Settings!$B$6,"STALE",""),"")</f>
        <v/>
      </c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1"/>
      <c r="J183" s="10"/>
      <c r="K183" s="10"/>
      <c r="L183" s="10"/>
      <c r="M183" s="12"/>
      <c r="N183" s="12"/>
      <c r="O183" s="11"/>
      <c r="P183" s="12"/>
      <c r="Q183" s="11"/>
      <c r="R183" s="13" t="str">
        <f aca="false">IF(Q183="","",ROUND(Q183*IFERROR(INDEX(Settings!$B$2:$B$4,MATCH(K183,Settings!$A$2:$A$4,0)),0)+IFERROR(INDEX(Settings!$C$2:$C$4,MATCH(K183,Settings!$A$2:$A$4,0)),0),2))</f>
        <v/>
      </c>
      <c r="S183" s="13" t="str">
        <f aca="false">IF(Q183="","",Q183-R183-N(I183))</f>
        <v/>
      </c>
      <c r="T183" s="14" t="str">
        <f aca="true">IF(N183="","",IF(P183&lt;&gt;"",P183-N183,TODAY()-N183))</f>
        <v/>
      </c>
      <c r="U183" s="10"/>
      <c r="V183" s="14" t="str">
        <f aca="true">IF(AND(L183="Listed",N183&lt;&gt;"",P183=""),IF(TODAY()-N183&gt;=Settings!$B$6,"STALE",""),"")</f>
        <v/>
      </c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1"/>
      <c r="J184" s="10"/>
      <c r="K184" s="10"/>
      <c r="L184" s="10"/>
      <c r="M184" s="12"/>
      <c r="N184" s="12"/>
      <c r="O184" s="11"/>
      <c r="P184" s="12"/>
      <c r="Q184" s="11"/>
      <c r="R184" s="13" t="str">
        <f aca="false">IF(Q184="","",ROUND(Q184*IFERROR(INDEX(Settings!$B$2:$B$4,MATCH(K184,Settings!$A$2:$A$4,0)),0)+IFERROR(INDEX(Settings!$C$2:$C$4,MATCH(K184,Settings!$A$2:$A$4,0)),0),2))</f>
        <v/>
      </c>
      <c r="S184" s="13" t="str">
        <f aca="false">IF(Q184="","",Q184-R184-N(I184))</f>
        <v/>
      </c>
      <c r="T184" s="14" t="str">
        <f aca="true">IF(N184="","",IF(P184&lt;&gt;"",P184-N184,TODAY()-N184))</f>
        <v/>
      </c>
      <c r="U184" s="10"/>
      <c r="V184" s="14" t="str">
        <f aca="true">IF(AND(L184="Listed",N184&lt;&gt;"",P184=""),IF(TODAY()-N184&gt;=Settings!$B$6,"STALE",""),"")</f>
        <v/>
      </c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1"/>
      <c r="J185" s="10"/>
      <c r="K185" s="10"/>
      <c r="L185" s="10"/>
      <c r="M185" s="12"/>
      <c r="N185" s="12"/>
      <c r="O185" s="11"/>
      <c r="P185" s="12"/>
      <c r="Q185" s="11"/>
      <c r="R185" s="13" t="str">
        <f aca="false">IF(Q185="","",ROUND(Q185*IFERROR(INDEX(Settings!$B$2:$B$4,MATCH(K185,Settings!$A$2:$A$4,0)),0)+IFERROR(INDEX(Settings!$C$2:$C$4,MATCH(K185,Settings!$A$2:$A$4,0)),0),2))</f>
        <v/>
      </c>
      <c r="S185" s="13" t="str">
        <f aca="false">IF(Q185="","",Q185-R185-N(I185))</f>
        <v/>
      </c>
      <c r="T185" s="14" t="str">
        <f aca="true">IF(N185="","",IF(P185&lt;&gt;"",P185-N185,TODAY()-N185))</f>
        <v/>
      </c>
      <c r="U185" s="10"/>
      <c r="V185" s="14" t="str">
        <f aca="true">IF(AND(L185="Listed",N185&lt;&gt;"",P185=""),IF(TODAY()-N185&gt;=Settings!$B$6,"STALE",""),"")</f>
        <v/>
      </c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1"/>
      <c r="J186" s="10"/>
      <c r="K186" s="10"/>
      <c r="L186" s="10"/>
      <c r="M186" s="12"/>
      <c r="N186" s="12"/>
      <c r="O186" s="11"/>
      <c r="P186" s="12"/>
      <c r="Q186" s="11"/>
      <c r="R186" s="13" t="str">
        <f aca="false">IF(Q186="","",ROUND(Q186*IFERROR(INDEX(Settings!$B$2:$B$4,MATCH(K186,Settings!$A$2:$A$4,0)),0)+IFERROR(INDEX(Settings!$C$2:$C$4,MATCH(K186,Settings!$A$2:$A$4,0)),0),2))</f>
        <v/>
      </c>
      <c r="S186" s="13" t="str">
        <f aca="false">IF(Q186="","",Q186-R186-N(I186))</f>
        <v/>
      </c>
      <c r="T186" s="14" t="str">
        <f aca="true">IF(N186="","",IF(P186&lt;&gt;"",P186-N186,TODAY()-N186))</f>
        <v/>
      </c>
      <c r="U186" s="10"/>
      <c r="V186" s="14" t="str">
        <f aca="true">IF(AND(L186="Listed",N186&lt;&gt;"",P186=""),IF(TODAY()-N186&gt;=Settings!$B$6,"STALE",""),"")</f>
        <v/>
      </c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1"/>
      <c r="J187" s="10"/>
      <c r="K187" s="10"/>
      <c r="L187" s="10"/>
      <c r="M187" s="12"/>
      <c r="N187" s="12"/>
      <c r="O187" s="11"/>
      <c r="P187" s="12"/>
      <c r="Q187" s="11"/>
      <c r="R187" s="13" t="str">
        <f aca="false">IF(Q187="","",ROUND(Q187*IFERROR(INDEX(Settings!$B$2:$B$4,MATCH(K187,Settings!$A$2:$A$4,0)),0)+IFERROR(INDEX(Settings!$C$2:$C$4,MATCH(K187,Settings!$A$2:$A$4,0)),0),2))</f>
        <v/>
      </c>
      <c r="S187" s="13" t="str">
        <f aca="false">IF(Q187="","",Q187-R187-N(I187))</f>
        <v/>
      </c>
      <c r="T187" s="14" t="str">
        <f aca="true">IF(N187="","",IF(P187&lt;&gt;"",P187-N187,TODAY()-N187))</f>
        <v/>
      </c>
      <c r="U187" s="10"/>
      <c r="V187" s="14" t="str">
        <f aca="true">IF(AND(L187="Listed",N187&lt;&gt;"",P187=""),IF(TODAY()-N187&gt;=Settings!$B$6,"STALE",""),"")</f>
        <v/>
      </c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1"/>
      <c r="J188" s="10"/>
      <c r="K188" s="10"/>
      <c r="L188" s="10"/>
      <c r="M188" s="12"/>
      <c r="N188" s="12"/>
      <c r="O188" s="11"/>
      <c r="P188" s="12"/>
      <c r="Q188" s="11"/>
      <c r="R188" s="13" t="str">
        <f aca="false">IF(Q188="","",ROUND(Q188*IFERROR(INDEX(Settings!$B$2:$B$4,MATCH(K188,Settings!$A$2:$A$4,0)),0)+IFERROR(INDEX(Settings!$C$2:$C$4,MATCH(K188,Settings!$A$2:$A$4,0)),0),2))</f>
        <v/>
      </c>
      <c r="S188" s="13" t="str">
        <f aca="false">IF(Q188="","",Q188-R188-N(I188))</f>
        <v/>
      </c>
      <c r="T188" s="14" t="str">
        <f aca="true">IF(N188="","",IF(P188&lt;&gt;"",P188-N188,TODAY()-N188))</f>
        <v/>
      </c>
      <c r="U188" s="10"/>
      <c r="V188" s="14" t="str">
        <f aca="true">IF(AND(L188="Listed",N188&lt;&gt;"",P188=""),IF(TODAY()-N188&gt;=Settings!$B$6,"STALE",""),"")</f>
        <v/>
      </c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1"/>
      <c r="J189" s="10"/>
      <c r="K189" s="10"/>
      <c r="L189" s="10"/>
      <c r="M189" s="12"/>
      <c r="N189" s="12"/>
      <c r="O189" s="11"/>
      <c r="P189" s="12"/>
      <c r="Q189" s="11"/>
      <c r="R189" s="13" t="str">
        <f aca="false">IF(Q189="","",ROUND(Q189*IFERROR(INDEX(Settings!$B$2:$B$4,MATCH(K189,Settings!$A$2:$A$4,0)),0)+IFERROR(INDEX(Settings!$C$2:$C$4,MATCH(K189,Settings!$A$2:$A$4,0)),0),2))</f>
        <v/>
      </c>
      <c r="S189" s="13" t="str">
        <f aca="false">IF(Q189="","",Q189-R189-N(I189))</f>
        <v/>
      </c>
      <c r="T189" s="14" t="str">
        <f aca="true">IF(N189="","",IF(P189&lt;&gt;"",P189-N189,TODAY()-N189))</f>
        <v/>
      </c>
      <c r="U189" s="10"/>
      <c r="V189" s="14" t="str">
        <f aca="true">IF(AND(L189="Listed",N189&lt;&gt;"",P189=""),IF(TODAY()-N189&gt;=Settings!$B$6,"STALE",""),"")</f>
        <v/>
      </c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1"/>
      <c r="J190" s="10"/>
      <c r="K190" s="10"/>
      <c r="L190" s="10"/>
      <c r="M190" s="12"/>
      <c r="N190" s="12"/>
      <c r="O190" s="11"/>
      <c r="P190" s="12"/>
      <c r="Q190" s="11"/>
      <c r="R190" s="13" t="str">
        <f aca="false">IF(Q190="","",ROUND(Q190*IFERROR(INDEX(Settings!$B$2:$B$4,MATCH(K190,Settings!$A$2:$A$4,0)),0)+IFERROR(INDEX(Settings!$C$2:$C$4,MATCH(K190,Settings!$A$2:$A$4,0)),0),2))</f>
        <v/>
      </c>
      <c r="S190" s="13" t="str">
        <f aca="false">IF(Q190="","",Q190-R190-N(I190))</f>
        <v/>
      </c>
      <c r="T190" s="14" t="str">
        <f aca="true">IF(N190="","",IF(P190&lt;&gt;"",P190-N190,TODAY()-N190))</f>
        <v/>
      </c>
      <c r="U190" s="10"/>
      <c r="V190" s="14" t="str">
        <f aca="true">IF(AND(L190="Listed",N190&lt;&gt;"",P190=""),IF(TODAY()-N190&gt;=Settings!$B$6,"STALE",""),"")</f>
        <v/>
      </c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1"/>
      <c r="J191" s="10"/>
      <c r="K191" s="10"/>
      <c r="L191" s="10"/>
      <c r="M191" s="12"/>
      <c r="N191" s="12"/>
      <c r="O191" s="11"/>
      <c r="P191" s="12"/>
      <c r="Q191" s="11"/>
      <c r="R191" s="13" t="str">
        <f aca="false">IF(Q191="","",ROUND(Q191*IFERROR(INDEX(Settings!$B$2:$B$4,MATCH(K191,Settings!$A$2:$A$4,0)),0)+IFERROR(INDEX(Settings!$C$2:$C$4,MATCH(K191,Settings!$A$2:$A$4,0)),0),2))</f>
        <v/>
      </c>
      <c r="S191" s="13" t="str">
        <f aca="false">IF(Q191="","",Q191-R191-N(I191))</f>
        <v/>
      </c>
      <c r="T191" s="14" t="str">
        <f aca="true">IF(N191="","",IF(P191&lt;&gt;"",P191-N191,TODAY()-N191))</f>
        <v/>
      </c>
      <c r="U191" s="10"/>
      <c r="V191" s="14" t="str">
        <f aca="true">IF(AND(L191="Listed",N191&lt;&gt;"",P191=""),IF(TODAY()-N191&gt;=Settings!$B$6,"STALE",""),"")</f>
        <v/>
      </c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1"/>
      <c r="J192" s="10"/>
      <c r="K192" s="10"/>
      <c r="L192" s="10"/>
      <c r="M192" s="12"/>
      <c r="N192" s="12"/>
      <c r="O192" s="11"/>
      <c r="P192" s="12"/>
      <c r="Q192" s="11"/>
      <c r="R192" s="13" t="str">
        <f aca="false">IF(Q192="","",ROUND(Q192*IFERROR(INDEX(Settings!$B$2:$B$4,MATCH(K192,Settings!$A$2:$A$4,0)),0)+IFERROR(INDEX(Settings!$C$2:$C$4,MATCH(K192,Settings!$A$2:$A$4,0)),0),2))</f>
        <v/>
      </c>
      <c r="S192" s="13" t="str">
        <f aca="false">IF(Q192="","",Q192-R192-N(I192))</f>
        <v/>
      </c>
      <c r="T192" s="14" t="str">
        <f aca="true">IF(N192="","",IF(P192&lt;&gt;"",P192-N192,TODAY()-N192))</f>
        <v/>
      </c>
      <c r="U192" s="10"/>
      <c r="V192" s="14" t="str">
        <f aca="true">IF(AND(L192="Listed",N192&lt;&gt;"",P192=""),IF(TODAY()-N192&gt;=Settings!$B$6,"STALE",""),"")</f>
        <v/>
      </c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1"/>
      <c r="J193" s="10"/>
      <c r="K193" s="10"/>
      <c r="L193" s="10"/>
      <c r="M193" s="12"/>
      <c r="N193" s="12"/>
      <c r="O193" s="11"/>
      <c r="P193" s="12"/>
      <c r="Q193" s="11"/>
      <c r="R193" s="13" t="str">
        <f aca="false">IF(Q193="","",ROUND(Q193*IFERROR(INDEX(Settings!$B$2:$B$4,MATCH(K193,Settings!$A$2:$A$4,0)),0)+IFERROR(INDEX(Settings!$C$2:$C$4,MATCH(K193,Settings!$A$2:$A$4,0)),0),2))</f>
        <v/>
      </c>
      <c r="S193" s="13" t="str">
        <f aca="false">IF(Q193="","",Q193-R193-N(I193))</f>
        <v/>
      </c>
      <c r="T193" s="14" t="str">
        <f aca="true">IF(N193="","",IF(P193&lt;&gt;"",P193-N193,TODAY()-N193))</f>
        <v/>
      </c>
      <c r="U193" s="10"/>
      <c r="V193" s="14" t="str">
        <f aca="true">IF(AND(L193="Listed",N193&lt;&gt;"",P193=""),IF(TODAY()-N193&gt;=Settings!$B$6,"STALE",""),"")</f>
        <v/>
      </c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1"/>
      <c r="J194" s="10"/>
      <c r="K194" s="10"/>
      <c r="L194" s="10"/>
      <c r="M194" s="12"/>
      <c r="N194" s="12"/>
      <c r="O194" s="11"/>
      <c r="P194" s="12"/>
      <c r="Q194" s="11"/>
      <c r="R194" s="13" t="str">
        <f aca="false">IF(Q194="","",ROUND(Q194*IFERROR(INDEX(Settings!$B$2:$B$4,MATCH(K194,Settings!$A$2:$A$4,0)),0)+IFERROR(INDEX(Settings!$C$2:$C$4,MATCH(K194,Settings!$A$2:$A$4,0)),0),2))</f>
        <v/>
      </c>
      <c r="S194" s="13" t="str">
        <f aca="false">IF(Q194="","",Q194-R194-N(I194))</f>
        <v/>
      </c>
      <c r="T194" s="14" t="str">
        <f aca="true">IF(N194="","",IF(P194&lt;&gt;"",P194-N194,TODAY()-N194))</f>
        <v/>
      </c>
      <c r="U194" s="10"/>
      <c r="V194" s="14" t="str">
        <f aca="true">IF(AND(L194="Listed",N194&lt;&gt;"",P194=""),IF(TODAY()-N194&gt;=Settings!$B$6,"STALE",""),"")</f>
        <v/>
      </c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1"/>
      <c r="J195" s="10"/>
      <c r="K195" s="10"/>
      <c r="L195" s="10"/>
      <c r="M195" s="12"/>
      <c r="N195" s="12"/>
      <c r="O195" s="11"/>
      <c r="P195" s="12"/>
      <c r="Q195" s="11"/>
      <c r="R195" s="13" t="str">
        <f aca="false">IF(Q195="","",ROUND(Q195*IFERROR(INDEX(Settings!$B$2:$B$4,MATCH(K195,Settings!$A$2:$A$4,0)),0)+IFERROR(INDEX(Settings!$C$2:$C$4,MATCH(K195,Settings!$A$2:$A$4,0)),0),2))</f>
        <v/>
      </c>
      <c r="S195" s="13" t="str">
        <f aca="false">IF(Q195="","",Q195-R195-N(I195))</f>
        <v/>
      </c>
      <c r="T195" s="14" t="str">
        <f aca="true">IF(N195="","",IF(P195&lt;&gt;"",P195-N195,TODAY()-N195))</f>
        <v/>
      </c>
      <c r="U195" s="10"/>
      <c r="V195" s="14" t="str">
        <f aca="true">IF(AND(L195="Listed",N195&lt;&gt;"",P195=""),IF(TODAY()-N195&gt;=Settings!$B$6,"STALE",""),"")</f>
        <v/>
      </c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1"/>
      <c r="J196" s="10"/>
      <c r="K196" s="10"/>
      <c r="L196" s="10"/>
      <c r="M196" s="12"/>
      <c r="N196" s="12"/>
      <c r="O196" s="11"/>
      <c r="P196" s="12"/>
      <c r="Q196" s="11"/>
      <c r="R196" s="13" t="str">
        <f aca="false">IF(Q196="","",ROUND(Q196*IFERROR(INDEX(Settings!$B$2:$B$4,MATCH(K196,Settings!$A$2:$A$4,0)),0)+IFERROR(INDEX(Settings!$C$2:$C$4,MATCH(K196,Settings!$A$2:$A$4,0)),0),2))</f>
        <v/>
      </c>
      <c r="S196" s="13" t="str">
        <f aca="false">IF(Q196="","",Q196-R196-N(I196))</f>
        <v/>
      </c>
      <c r="T196" s="14" t="str">
        <f aca="true">IF(N196="","",IF(P196&lt;&gt;"",P196-N196,TODAY()-N196))</f>
        <v/>
      </c>
      <c r="U196" s="10"/>
      <c r="V196" s="14" t="str">
        <f aca="true">IF(AND(L196="Listed",N196&lt;&gt;"",P196=""),IF(TODAY()-N196&gt;=Settings!$B$6,"STALE",""),"")</f>
        <v/>
      </c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1"/>
      <c r="J197" s="10"/>
      <c r="K197" s="10"/>
      <c r="L197" s="10"/>
      <c r="M197" s="12"/>
      <c r="N197" s="12"/>
      <c r="O197" s="11"/>
      <c r="P197" s="12"/>
      <c r="Q197" s="11"/>
      <c r="R197" s="13" t="str">
        <f aca="false">IF(Q197="","",ROUND(Q197*IFERROR(INDEX(Settings!$B$2:$B$4,MATCH(K197,Settings!$A$2:$A$4,0)),0)+IFERROR(INDEX(Settings!$C$2:$C$4,MATCH(K197,Settings!$A$2:$A$4,0)),0),2))</f>
        <v/>
      </c>
      <c r="S197" s="13" t="str">
        <f aca="false">IF(Q197="","",Q197-R197-N(I197))</f>
        <v/>
      </c>
      <c r="T197" s="14" t="str">
        <f aca="true">IF(N197="","",IF(P197&lt;&gt;"",P197-N197,TODAY()-N197))</f>
        <v/>
      </c>
      <c r="U197" s="10"/>
      <c r="V197" s="14" t="str">
        <f aca="true">IF(AND(L197="Listed",N197&lt;&gt;"",P197=""),IF(TODAY()-N197&gt;=Settings!$B$6,"STALE",""),"")</f>
        <v/>
      </c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1"/>
      <c r="J198" s="10"/>
      <c r="K198" s="10"/>
      <c r="L198" s="10"/>
      <c r="M198" s="12"/>
      <c r="N198" s="12"/>
      <c r="O198" s="11"/>
      <c r="P198" s="12"/>
      <c r="Q198" s="11"/>
      <c r="R198" s="13" t="str">
        <f aca="false">IF(Q198="","",ROUND(Q198*IFERROR(INDEX(Settings!$B$2:$B$4,MATCH(K198,Settings!$A$2:$A$4,0)),0)+IFERROR(INDEX(Settings!$C$2:$C$4,MATCH(K198,Settings!$A$2:$A$4,0)),0),2))</f>
        <v/>
      </c>
      <c r="S198" s="13" t="str">
        <f aca="false">IF(Q198="","",Q198-R198-N(I198))</f>
        <v/>
      </c>
      <c r="T198" s="14" t="str">
        <f aca="true">IF(N198="","",IF(P198&lt;&gt;"",P198-N198,TODAY()-N198))</f>
        <v/>
      </c>
      <c r="U198" s="10"/>
      <c r="V198" s="14" t="str">
        <f aca="true">IF(AND(L198="Listed",N198&lt;&gt;"",P198=""),IF(TODAY()-N198&gt;=Settings!$B$6,"STALE",""),"")</f>
        <v/>
      </c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1"/>
      <c r="J199" s="10"/>
      <c r="K199" s="10"/>
      <c r="L199" s="10"/>
      <c r="M199" s="12"/>
      <c r="N199" s="12"/>
      <c r="O199" s="11"/>
      <c r="P199" s="12"/>
      <c r="Q199" s="11"/>
      <c r="R199" s="13" t="str">
        <f aca="false">IF(Q199="","",ROUND(Q199*IFERROR(INDEX(Settings!$B$2:$B$4,MATCH(K199,Settings!$A$2:$A$4,0)),0)+IFERROR(INDEX(Settings!$C$2:$C$4,MATCH(K199,Settings!$A$2:$A$4,0)),0),2))</f>
        <v/>
      </c>
      <c r="S199" s="13" t="str">
        <f aca="false">IF(Q199="","",Q199-R199-N(I199))</f>
        <v/>
      </c>
      <c r="T199" s="14" t="str">
        <f aca="true">IF(N199="","",IF(P199&lt;&gt;"",P199-N199,TODAY()-N199))</f>
        <v/>
      </c>
      <c r="U199" s="10"/>
      <c r="V199" s="14" t="str">
        <f aca="true">IF(AND(L199="Listed",N199&lt;&gt;"",P199=""),IF(TODAY()-N199&gt;=Settings!$B$6,"STALE",""),"")</f>
        <v/>
      </c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1"/>
      <c r="J200" s="10"/>
      <c r="K200" s="10"/>
      <c r="L200" s="10"/>
      <c r="M200" s="12"/>
      <c r="N200" s="12"/>
      <c r="O200" s="11"/>
      <c r="P200" s="12"/>
      <c r="Q200" s="11"/>
      <c r="R200" s="13" t="str">
        <f aca="false">IF(Q200="","",ROUND(Q200*IFERROR(INDEX(Settings!$B$2:$B$4,MATCH(K200,Settings!$A$2:$A$4,0)),0)+IFERROR(INDEX(Settings!$C$2:$C$4,MATCH(K200,Settings!$A$2:$A$4,0)),0),2))</f>
        <v/>
      </c>
      <c r="S200" s="13" t="str">
        <f aca="false">IF(Q200="","",Q200-R200-N(I200))</f>
        <v/>
      </c>
      <c r="T200" s="14" t="str">
        <f aca="true">IF(N200="","",IF(P200&lt;&gt;"",P200-N200,TODAY()-N200))</f>
        <v/>
      </c>
      <c r="U200" s="10"/>
      <c r="V200" s="14" t="str">
        <f aca="true">IF(AND(L200="Listed",N200&lt;&gt;"",P200=""),IF(TODAY()-N200&gt;=Settings!$B$6,"STALE",""),"")</f>
        <v/>
      </c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1"/>
      <c r="J201" s="10"/>
      <c r="K201" s="10"/>
      <c r="L201" s="10"/>
      <c r="M201" s="12"/>
      <c r="N201" s="12"/>
      <c r="O201" s="11"/>
      <c r="P201" s="12"/>
      <c r="Q201" s="11"/>
      <c r="R201" s="13" t="str">
        <f aca="false">IF(Q201="","",ROUND(Q201*IFERROR(INDEX(Settings!$B$2:$B$4,MATCH(K201,Settings!$A$2:$A$4,0)),0)+IFERROR(INDEX(Settings!$C$2:$C$4,MATCH(K201,Settings!$A$2:$A$4,0)),0),2))</f>
        <v/>
      </c>
      <c r="S201" s="13" t="str">
        <f aca="false">IF(Q201="","",Q201-R201-N(I201))</f>
        <v/>
      </c>
      <c r="T201" s="14" t="str">
        <f aca="true">IF(N201="","",IF(P201&lt;&gt;"",P201-N201,TODAY()-N201))</f>
        <v/>
      </c>
      <c r="U201" s="10"/>
      <c r="V201" s="14" t="str">
        <f aca="true">IF(AND(L201="Listed",N201&lt;&gt;"",P201=""),IF(TODAY()-N201&gt;=Settings!$B$6,"STALE",""),"")</f>
        <v/>
      </c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1"/>
      <c r="J202" s="10"/>
      <c r="K202" s="10"/>
      <c r="L202" s="10"/>
      <c r="M202" s="12"/>
      <c r="N202" s="12"/>
      <c r="O202" s="11"/>
      <c r="P202" s="12"/>
      <c r="Q202" s="11"/>
      <c r="R202" s="13" t="str">
        <f aca="false">IF(Q202="","",ROUND(Q202*IFERROR(INDEX(Settings!$B$2:$B$4,MATCH(K202,Settings!$A$2:$A$4,0)),0)+IFERROR(INDEX(Settings!$C$2:$C$4,MATCH(K202,Settings!$A$2:$A$4,0)),0),2))</f>
        <v/>
      </c>
      <c r="S202" s="13" t="str">
        <f aca="false">IF(Q202="","",Q202-R202-N(I202))</f>
        <v/>
      </c>
      <c r="T202" s="14" t="str">
        <f aca="true">IF(N202="","",IF(P202&lt;&gt;"",P202-N202,TODAY()-N202))</f>
        <v/>
      </c>
      <c r="U202" s="10"/>
      <c r="V202" s="14" t="str">
        <f aca="true">IF(AND(L202="Listed",N202&lt;&gt;"",P202=""),IF(TODAY()-N202&gt;=Settings!$B$6,"STALE",""),"")</f>
        <v/>
      </c>
    </row>
    <row r="203" customFormat="false" ht="15" hidden="false" customHeight="false" outlineLevel="0" collapsed="false">
      <c r="A203" s="10"/>
      <c r="B203" s="10"/>
      <c r="C203" s="10"/>
      <c r="D203" s="10"/>
      <c r="E203" s="10"/>
      <c r="F203" s="10"/>
      <c r="G203" s="10"/>
      <c r="H203" s="10"/>
      <c r="I203" s="11"/>
      <c r="J203" s="10"/>
      <c r="K203" s="10"/>
      <c r="L203" s="10"/>
      <c r="M203" s="12"/>
      <c r="N203" s="12"/>
      <c r="O203" s="11"/>
      <c r="P203" s="12"/>
      <c r="Q203" s="11"/>
      <c r="R203" s="13" t="str">
        <f aca="false">IF(Q203="","",ROUND(Q203*IFERROR(INDEX(Settings!$B$2:$B$4,MATCH(K203,Settings!$A$2:$A$4,0)),0)+IFERROR(INDEX(Settings!$C$2:$C$4,MATCH(K203,Settings!$A$2:$A$4,0)),0),2))</f>
        <v/>
      </c>
      <c r="S203" s="13" t="str">
        <f aca="false">IF(Q203="","",Q203-R203-N(I203))</f>
        <v/>
      </c>
      <c r="T203" s="14" t="str">
        <f aca="true">IF(N203="","",IF(P203&lt;&gt;"",P203-N203,TODAY()-N203))</f>
        <v/>
      </c>
      <c r="U203" s="10"/>
      <c r="V203" s="14" t="str">
        <f aca="true">IF(AND(L203="Listed",N203&lt;&gt;"",P203=""),IF(TODAY()-N203&gt;=Settings!$B$6,"STALE",""),"")</f>
        <v/>
      </c>
    </row>
    <row r="204" customFormat="false" ht="15" hidden="false" customHeight="false" outlineLevel="0" collapsed="false">
      <c r="A204" s="10"/>
      <c r="B204" s="10"/>
      <c r="C204" s="10"/>
      <c r="D204" s="10"/>
      <c r="E204" s="10"/>
      <c r="F204" s="10"/>
      <c r="G204" s="10"/>
      <c r="H204" s="10"/>
      <c r="I204" s="11"/>
      <c r="J204" s="10"/>
      <c r="K204" s="10"/>
      <c r="L204" s="10"/>
      <c r="M204" s="12"/>
      <c r="N204" s="12"/>
      <c r="O204" s="11"/>
      <c r="P204" s="12"/>
      <c r="Q204" s="11"/>
      <c r="R204" s="13" t="str">
        <f aca="false">IF(Q204="","",ROUND(Q204*IFERROR(INDEX(Settings!$B$2:$B$4,MATCH(K204,Settings!$A$2:$A$4,0)),0)+IFERROR(INDEX(Settings!$C$2:$C$4,MATCH(K204,Settings!$A$2:$A$4,0)),0),2))</f>
        <v/>
      </c>
      <c r="S204" s="13" t="str">
        <f aca="false">IF(Q204="","",Q204-R204-N(I204))</f>
        <v/>
      </c>
      <c r="T204" s="14" t="str">
        <f aca="true">IF(N204="","",IF(P204&lt;&gt;"",P204-N204,TODAY()-N204))</f>
        <v/>
      </c>
      <c r="U204" s="10"/>
      <c r="V204" s="14" t="str">
        <f aca="true">IF(AND(L204="Listed",N204&lt;&gt;"",P204=""),IF(TODAY()-N204&gt;=Settings!$B$6,"STALE",""),"")</f>
        <v/>
      </c>
    </row>
    <row r="205" customFormat="false" ht="15" hidden="false" customHeight="false" outlineLevel="0" collapsed="false">
      <c r="A205" s="10"/>
      <c r="B205" s="10"/>
      <c r="C205" s="10"/>
      <c r="D205" s="10"/>
      <c r="E205" s="10"/>
      <c r="F205" s="10"/>
      <c r="G205" s="10"/>
      <c r="H205" s="10"/>
      <c r="I205" s="11"/>
      <c r="J205" s="10"/>
      <c r="K205" s="10"/>
      <c r="L205" s="10"/>
      <c r="M205" s="12"/>
      <c r="N205" s="12"/>
      <c r="O205" s="11"/>
      <c r="P205" s="12"/>
      <c r="Q205" s="11"/>
      <c r="R205" s="13" t="str">
        <f aca="false">IF(Q205="","",ROUND(Q205*IFERROR(INDEX(Settings!$B$2:$B$4,MATCH(K205,Settings!$A$2:$A$4,0)),0)+IFERROR(INDEX(Settings!$C$2:$C$4,MATCH(K205,Settings!$A$2:$A$4,0)),0),2))</f>
        <v/>
      </c>
      <c r="S205" s="13" t="str">
        <f aca="false">IF(Q205="","",Q205-R205-N(I205))</f>
        <v/>
      </c>
      <c r="T205" s="14" t="str">
        <f aca="true">IF(N205="","",IF(P205&lt;&gt;"",P205-N205,TODAY()-N205))</f>
        <v/>
      </c>
      <c r="U205" s="10"/>
      <c r="V205" s="14" t="str">
        <f aca="true">IF(AND(L205="Listed",N205&lt;&gt;"",P205=""),IF(TODAY()-N205&gt;=Settings!$B$6,"STALE",""),"")</f>
        <v/>
      </c>
    </row>
    <row r="206" customFormat="false" ht="15" hidden="false" customHeight="false" outlineLevel="0" collapsed="false">
      <c r="A206" s="10"/>
      <c r="B206" s="10"/>
      <c r="C206" s="10"/>
      <c r="D206" s="10"/>
      <c r="E206" s="10"/>
      <c r="F206" s="10"/>
      <c r="G206" s="10"/>
      <c r="H206" s="10"/>
      <c r="I206" s="11"/>
      <c r="J206" s="10"/>
      <c r="K206" s="10"/>
      <c r="L206" s="10"/>
      <c r="M206" s="12"/>
      <c r="N206" s="12"/>
      <c r="O206" s="11"/>
      <c r="P206" s="12"/>
      <c r="Q206" s="11"/>
      <c r="R206" s="13" t="str">
        <f aca="false">IF(Q206="","",ROUND(Q206*IFERROR(INDEX(Settings!$B$2:$B$4,MATCH(K206,Settings!$A$2:$A$4,0)),0)+IFERROR(INDEX(Settings!$C$2:$C$4,MATCH(K206,Settings!$A$2:$A$4,0)),0),2))</f>
        <v/>
      </c>
      <c r="S206" s="13" t="str">
        <f aca="false">IF(Q206="","",Q206-R206-N(I206))</f>
        <v/>
      </c>
      <c r="T206" s="14" t="str">
        <f aca="true">IF(N206="","",IF(P206&lt;&gt;"",P206-N206,TODAY()-N206))</f>
        <v/>
      </c>
      <c r="U206" s="10"/>
      <c r="V206" s="14" t="str">
        <f aca="true">IF(AND(L206="Listed",N206&lt;&gt;"",P206=""),IF(TODAY()-N206&gt;=Settings!$B$6,"STALE",""),"")</f>
        <v/>
      </c>
    </row>
    <row r="207" customFormat="false" ht="15" hidden="false" customHeight="false" outlineLevel="0" collapsed="false">
      <c r="A207" s="10"/>
      <c r="B207" s="10"/>
      <c r="C207" s="10"/>
      <c r="D207" s="10"/>
      <c r="E207" s="10"/>
      <c r="F207" s="10"/>
      <c r="G207" s="10"/>
      <c r="H207" s="10"/>
      <c r="I207" s="11"/>
      <c r="J207" s="10"/>
      <c r="K207" s="10"/>
      <c r="L207" s="10"/>
      <c r="M207" s="12"/>
      <c r="N207" s="12"/>
      <c r="O207" s="11"/>
      <c r="P207" s="12"/>
      <c r="Q207" s="11"/>
      <c r="R207" s="13" t="str">
        <f aca="false">IF(Q207="","",ROUND(Q207*IFERROR(INDEX(Settings!$B$2:$B$4,MATCH(K207,Settings!$A$2:$A$4,0)),0)+IFERROR(INDEX(Settings!$C$2:$C$4,MATCH(K207,Settings!$A$2:$A$4,0)),0),2))</f>
        <v/>
      </c>
      <c r="S207" s="13" t="str">
        <f aca="false">IF(Q207="","",Q207-R207-N(I207))</f>
        <v/>
      </c>
      <c r="T207" s="14" t="str">
        <f aca="true">IF(N207="","",IF(P207&lt;&gt;"",P207-N207,TODAY()-N207))</f>
        <v/>
      </c>
      <c r="U207" s="10"/>
      <c r="V207" s="14" t="str">
        <f aca="true">IF(AND(L207="Listed",N207&lt;&gt;"",P207=""),IF(TODAY()-N207&gt;=Settings!$B$6,"STALE",""),"")</f>
        <v/>
      </c>
    </row>
    <row r="208" customFormat="false" ht="15" hidden="false" customHeight="false" outlineLevel="0" collapsed="false">
      <c r="A208" s="10"/>
      <c r="B208" s="10"/>
      <c r="C208" s="10"/>
      <c r="D208" s="10"/>
      <c r="E208" s="10"/>
      <c r="F208" s="10"/>
      <c r="G208" s="10"/>
      <c r="H208" s="10"/>
      <c r="I208" s="11"/>
      <c r="J208" s="10"/>
      <c r="K208" s="10"/>
      <c r="L208" s="10"/>
      <c r="M208" s="12"/>
      <c r="N208" s="12"/>
      <c r="O208" s="11"/>
      <c r="P208" s="12"/>
      <c r="Q208" s="11"/>
      <c r="R208" s="13" t="str">
        <f aca="false">IF(Q208="","",ROUND(Q208*IFERROR(INDEX(Settings!$B$2:$B$4,MATCH(K208,Settings!$A$2:$A$4,0)),0)+IFERROR(INDEX(Settings!$C$2:$C$4,MATCH(K208,Settings!$A$2:$A$4,0)),0),2))</f>
        <v/>
      </c>
      <c r="S208" s="13" t="str">
        <f aca="false">IF(Q208="","",Q208-R208-N(I208))</f>
        <v/>
      </c>
      <c r="T208" s="14" t="str">
        <f aca="true">IF(N208="","",IF(P208&lt;&gt;"",P208-N208,TODAY()-N208))</f>
        <v/>
      </c>
      <c r="U208" s="10"/>
      <c r="V208" s="14" t="str">
        <f aca="true">IF(AND(L208="Listed",N208&lt;&gt;"",P208=""),IF(TODAY()-N208&gt;=Settings!$B$6,"STALE",""),"")</f>
        <v/>
      </c>
    </row>
    <row r="209" customFormat="false" ht="15" hidden="false" customHeight="false" outlineLevel="0" collapsed="false">
      <c r="A209" s="10"/>
      <c r="B209" s="10"/>
      <c r="C209" s="10"/>
      <c r="D209" s="10"/>
      <c r="E209" s="10"/>
      <c r="F209" s="10"/>
      <c r="G209" s="10"/>
      <c r="H209" s="10"/>
      <c r="I209" s="11"/>
      <c r="J209" s="10"/>
      <c r="K209" s="10"/>
      <c r="L209" s="10"/>
      <c r="M209" s="12"/>
      <c r="N209" s="12"/>
      <c r="O209" s="11"/>
      <c r="P209" s="12"/>
      <c r="Q209" s="11"/>
      <c r="R209" s="13" t="str">
        <f aca="false">IF(Q209="","",ROUND(Q209*IFERROR(INDEX(Settings!$B$2:$B$4,MATCH(K209,Settings!$A$2:$A$4,0)),0)+IFERROR(INDEX(Settings!$C$2:$C$4,MATCH(K209,Settings!$A$2:$A$4,0)),0),2))</f>
        <v/>
      </c>
      <c r="S209" s="13" t="str">
        <f aca="false">IF(Q209="","",Q209-R209-N(I209))</f>
        <v/>
      </c>
      <c r="T209" s="14" t="str">
        <f aca="true">IF(N209="","",IF(P209&lt;&gt;"",P209-N209,TODAY()-N209))</f>
        <v/>
      </c>
      <c r="U209" s="10"/>
      <c r="V209" s="14" t="str">
        <f aca="true">IF(AND(L209="Listed",N209&lt;&gt;"",P209=""),IF(TODAY()-N209&gt;=Settings!$B$6,"STALE",""),"")</f>
        <v/>
      </c>
    </row>
    <row r="210" customFormat="false" ht="15" hidden="false" customHeight="false" outlineLevel="0" collapsed="false">
      <c r="A210" s="10"/>
      <c r="B210" s="10"/>
      <c r="C210" s="10"/>
      <c r="D210" s="10"/>
      <c r="E210" s="10"/>
      <c r="F210" s="10"/>
      <c r="G210" s="10"/>
      <c r="H210" s="10"/>
      <c r="I210" s="11"/>
      <c r="J210" s="10"/>
      <c r="K210" s="10"/>
      <c r="L210" s="10"/>
      <c r="M210" s="12"/>
      <c r="N210" s="12"/>
      <c r="O210" s="11"/>
      <c r="P210" s="12"/>
      <c r="Q210" s="11"/>
      <c r="R210" s="13" t="str">
        <f aca="false">IF(Q210="","",ROUND(Q210*IFERROR(INDEX(Settings!$B$2:$B$4,MATCH(K210,Settings!$A$2:$A$4,0)),0)+IFERROR(INDEX(Settings!$C$2:$C$4,MATCH(K210,Settings!$A$2:$A$4,0)),0),2))</f>
        <v/>
      </c>
      <c r="S210" s="13" t="str">
        <f aca="false">IF(Q210="","",Q210-R210-N(I210))</f>
        <v/>
      </c>
      <c r="T210" s="14" t="str">
        <f aca="true">IF(N210="","",IF(P210&lt;&gt;"",P210-N210,TODAY()-N210))</f>
        <v/>
      </c>
      <c r="U210" s="10"/>
      <c r="V210" s="14" t="str">
        <f aca="true">IF(AND(L210="Listed",N210&lt;&gt;"",P210=""),IF(TODAY()-N210&gt;=Settings!$B$6,"STALE",""),"")</f>
        <v/>
      </c>
    </row>
    <row r="211" customFormat="false" ht="15" hidden="false" customHeight="false" outlineLevel="0" collapsed="false">
      <c r="A211" s="10"/>
      <c r="B211" s="10"/>
      <c r="C211" s="10"/>
      <c r="D211" s="10"/>
      <c r="E211" s="10"/>
      <c r="F211" s="10"/>
      <c r="G211" s="10"/>
      <c r="H211" s="10"/>
      <c r="I211" s="11"/>
      <c r="J211" s="10"/>
      <c r="K211" s="10"/>
      <c r="L211" s="10"/>
      <c r="M211" s="12"/>
      <c r="N211" s="12"/>
      <c r="O211" s="11"/>
      <c r="P211" s="12"/>
      <c r="Q211" s="11"/>
      <c r="R211" s="13" t="str">
        <f aca="false">IF(Q211="","",ROUND(Q211*IFERROR(INDEX(Settings!$B$2:$B$4,MATCH(K211,Settings!$A$2:$A$4,0)),0)+IFERROR(INDEX(Settings!$C$2:$C$4,MATCH(K211,Settings!$A$2:$A$4,0)),0),2))</f>
        <v/>
      </c>
      <c r="S211" s="13" t="str">
        <f aca="false">IF(Q211="","",Q211-R211-N(I211))</f>
        <v/>
      </c>
      <c r="T211" s="14" t="str">
        <f aca="true">IF(N211="","",IF(P211&lt;&gt;"",P211-N211,TODAY()-N211))</f>
        <v/>
      </c>
      <c r="U211" s="10"/>
      <c r="V211" s="14" t="str">
        <f aca="true">IF(AND(L211="Listed",N211&lt;&gt;"",P211=""),IF(TODAY()-N211&gt;=Settings!$B$6,"STALE",""),"")</f>
        <v/>
      </c>
    </row>
    <row r="212" customFormat="false" ht="15" hidden="false" customHeight="false" outlineLevel="0" collapsed="false">
      <c r="A212" s="10"/>
      <c r="B212" s="10"/>
      <c r="C212" s="10"/>
      <c r="D212" s="10"/>
      <c r="E212" s="10"/>
      <c r="F212" s="10"/>
      <c r="G212" s="10"/>
      <c r="H212" s="10"/>
      <c r="I212" s="11"/>
      <c r="J212" s="10"/>
      <c r="K212" s="10"/>
      <c r="L212" s="10"/>
      <c r="M212" s="12"/>
      <c r="N212" s="12"/>
      <c r="O212" s="11"/>
      <c r="P212" s="12"/>
      <c r="Q212" s="11"/>
      <c r="R212" s="13" t="str">
        <f aca="false">IF(Q212="","",ROUND(Q212*IFERROR(INDEX(Settings!$B$2:$B$4,MATCH(K212,Settings!$A$2:$A$4,0)),0)+IFERROR(INDEX(Settings!$C$2:$C$4,MATCH(K212,Settings!$A$2:$A$4,0)),0),2))</f>
        <v/>
      </c>
      <c r="S212" s="13" t="str">
        <f aca="false">IF(Q212="","",Q212-R212-N(I212))</f>
        <v/>
      </c>
      <c r="T212" s="14" t="str">
        <f aca="true">IF(N212="","",IF(P212&lt;&gt;"",P212-N212,TODAY()-N212))</f>
        <v/>
      </c>
      <c r="U212" s="10"/>
      <c r="V212" s="14" t="str">
        <f aca="true">IF(AND(L212="Listed",N212&lt;&gt;"",P212=""),IF(TODAY()-N212&gt;=Settings!$B$6,"STALE",""),"")</f>
        <v/>
      </c>
    </row>
    <row r="213" customFormat="false" ht="15" hidden="false" customHeight="false" outlineLevel="0" collapsed="false">
      <c r="A213" s="10"/>
      <c r="B213" s="10"/>
      <c r="C213" s="10"/>
      <c r="D213" s="10"/>
      <c r="E213" s="10"/>
      <c r="F213" s="10"/>
      <c r="G213" s="10"/>
      <c r="H213" s="10"/>
      <c r="I213" s="11"/>
      <c r="J213" s="10"/>
      <c r="K213" s="10"/>
      <c r="L213" s="10"/>
      <c r="M213" s="12"/>
      <c r="N213" s="12"/>
      <c r="O213" s="11"/>
      <c r="P213" s="12"/>
      <c r="Q213" s="11"/>
      <c r="R213" s="13" t="str">
        <f aca="false">IF(Q213="","",ROUND(Q213*IFERROR(INDEX(Settings!$B$2:$B$4,MATCH(K213,Settings!$A$2:$A$4,0)),0)+IFERROR(INDEX(Settings!$C$2:$C$4,MATCH(K213,Settings!$A$2:$A$4,0)),0),2))</f>
        <v/>
      </c>
      <c r="S213" s="13" t="str">
        <f aca="false">IF(Q213="","",Q213-R213-N(I213))</f>
        <v/>
      </c>
      <c r="T213" s="14" t="str">
        <f aca="true">IF(N213="","",IF(P213&lt;&gt;"",P213-N213,TODAY()-N213))</f>
        <v/>
      </c>
      <c r="U213" s="10"/>
      <c r="V213" s="14" t="str">
        <f aca="true">IF(AND(L213="Listed",N213&lt;&gt;"",P213=""),IF(TODAY()-N213&gt;=Settings!$B$6,"STALE",""),"")</f>
        <v/>
      </c>
    </row>
    <row r="214" customFormat="false" ht="15" hidden="false" customHeight="false" outlineLevel="0" collapsed="false">
      <c r="A214" s="10"/>
      <c r="B214" s="10"/>
      <c r="C214" s="10"/>
      <c r="D214" s="10"/>
      <c r="E214" s="10"/>
      <c r="F214" s="10"/>
      <c r="G214" s="10"/>
      <c r="H214" s="10"/>
      <c r="I214" s="11"/>
      <c r="J214" s="10"/>
      <c r="K214" s="10"/>
      <c r="L214" s="10"/>
      <c r="M214" s="12"/>
      <c r="N214" s="12"/>
      <c r="O214" s="11"/>
      <c r="P214" s="12"/>
      <c r="Q214" s="11"/>
      <c r="R214" s="13" t="str">
        <f aca="false">IF(Q214="","",ROUND(Q214*IFERROR(INDEX(Settings!$B$2:$B$4,MATCH(K214,Settings!$A$2:$A$4,0)),0)+IFERROR(INDEX(Settings!$C$2:$C$4,MATCH(K214,Settings!$A$2:$A$4,0)),0),2))</f>
        <v/>
      </c>
      <c r="S214" s="13" t="str">
        <f aca="false">IF(Q214="","",Q214-R214-N(I214))</f>
        <v/>
      </c>
      <c r="T214" s="14" t="str">
        <f aca="true">IF(N214="","",IF(P214&lt;&gt;"",P214-N214,TODAY()-N214))</f>
        <v/>
      </c>
      <c r="U214" s="10"/>
      <c r="V214" s="14" t="str">
        <f aca="true">IF(AND(L214="Listed",N214&lt;&gt;"",P214=""),IF(TODAY()-N214&gt;=Settings!$B$6,"STALE",""),"")</f>
        <v/>
      </c>
    </row>
    <row r="215" customFormat="false" ht="15" hidden="false" customHeight="false" outlineLevel="0" collapsed="false">
      <c r="A215" s="10"/>
      <c r="B215" s="10"/>
      <c r="C215" s="10"/>
      <c r="D215" s="10"/>
      <c r="E215" s="10"/>
      <c r="F215" s="10"/>
      <c r="G215" s="10"/>
      <c r="H215" s="10"/>
      <c r="I215" s="11"/>
      <c r="J215" s="10"/>
      <c r="K215" s="10"/>
      <c r="L215" s="10"/>
      <c r="M215" s="12"/>
      <c r="N215" s="12"/>
      <c r="O215" s="11"/>
      <c r="P215" s="12"/>
      <c r="Q215" s="11"/>
      <c r="R215" s="13" t="str">
        <f aca="false">IF(Q215="","",ROUND(Q215*IFERROR(INDEX(Settings!$B$2:$B$4,MATCH(K215,Settings!$A$2:$A$4,0)),0)+IFERROR(INDEX(Settings!$C$2:$C$4,MATCH(K215,Settings!$A$2:$A$4,0)),0),2))</f>
        <v/>
      </c>
      <c r="S215" s="13" t="str">
        <f aca="false">IF(Q215="","",Q215-R215-N(I215))</f>
        <v/>
      </c>
      <c r="T215" s="14" t="str">
        <f aca="true">IF(N215="","",IF(P215&lt;&gt;"",P215-N215,TODAY()-N215))</f>
        <v/>
      </c>
      <c r="U215" s="10"/>
      <c r="V215" s="14" t="str">
        <f aca="true">IF(AND(L215="Listed",N215&lt;&gt;"",P215=""),IF(TODAY()-N215&gt;=Settings!$B$6,"STALE",""),"")</f>
        <v/>
      </c>
    </row>
    <row r="216" customFormat="false" ht="15" hidden="false" customHeight="false" outlineLevel="0" collapsed="false">
      <c r="A216" s="10"/>
      <c r="B216" s="10"/>
      <c r="C216" s="10"/>
      <c r="D216" s="10"/>
      <c r="E216" s="10"/>
      <c r="F216" s="10"/>
      <c r="G216" s="10"/>
      <c r="H216" s="10"/>
      <c r="I216" s="11"/>
      <c r="J216" s="10"/>
      <c r="K216" s="10"/>
      <c r="L216" s="10"/>
      <c r="M216" s="12"/>
      <c r="N216" s="12"/>
      <c r="O216" s="11"/>
      <c r="P216" s="12"/>
      <c r="Q216" s="11"/>
      <c r="R216" s="13" t="str">
        <f aca="false">IF(Q216="","",ROUND(Q216*IFERROR(INDEX(Settings!$B$2:$B$4,MATCH(K216,Settings!$A$2:$A$4,0)),0)+IFERROR(INDEX(Settings!$C$2:$C$4,MATCH(K216,Settings!$A$2:$A$4,0)),0),2))</f>
        <v/>
      </c>
      <c r="S216" s="13" t="str">
        <f aca="false">IF(Q216="","",Q216-R216-N(I216))</f>
        <v/>
      </c>
      <c r="T216" s="14" t="str">
        <f aca="true">IF(N216="","",IF(P216&lt;&gt;"",P216-N216,TODAY()-N216))</f>
        <v/>
      </c>
      <c r="U216" s="10"/>
      <c r="V216" s="14" t="str">
        <f aca="true">IF(AND(L216="Listed",N216&lt;&gt;"",P216=""),IF(TODAY()-N216&gt;=Settings!$B$6,"STALE",""),"")</f>
        <v/>
      </c>
    </row>
    <row r="217" customFormat="false" ht="15" hidden="false" customHeight="false" outlineLevel="0" collapsed="false">
      <c r="A217" s="10"/>
      <c r="B217" s="10"/>
      <c r="C217" s="10"/>
      <c r="D217" s="10"/>
      <c r="E217" s="10"/>
      <c r="F217" s="10"/>
      <c r="G217" s="10"/>
      <c r="H217" s="10"/>
      <c r="I217" s="11"/>
      <c r="J217" s="10"/>
      <c r="K217" s="10"/>
      <c r="L217" s="10"/>
      <c r="M217" s="12"/>
      <c r="N217" s="12"/>
      <c r="O217" s="11"/>
      <c r="P217" s="12"/>
      <c r="Q217" s="11"/>
      <c r="R217" s="13" t="str">
        <f aca="false">IF(Q217="","",ROUND(Q217*IFERROR(INDEX(Settings!$B$2:$B$4,MATCH(K217,Settings!$A$2:$A$4,0)),0)+IFERROR(INDEX(Settings!$C$2:$C$4,MATCH(K217,Settings!$A$2:$A$4,0)),0),2))</f>
        <v/>
      </c>
      <c r="S217" s="13" t="str">
        <f aca="false">IF(Q217="","",Q217-R217-N(I217))</f>
        <v/>
      </c>
      <c r="T217" s="14" t="str">
        <f aca="true">IF(N217="","",IF(P217&lt;&gt;"",P217-N217,TODAY()-N217))</f>
        <v/>
      </c>
      <c r="U217" s="10"/>
      <c r="V217" s="14" t="str">
        <f aca="true">IF(AND(L217="Listed",N217&lt;&gt;"",P217=""),IF(TODAY()-N217&gt;=Settings!$B$6,"STALE",""),"")</f>
        <v/>
      </c>
    </row>
    <row r="218" customFormat="false" ht="15" hidden="false" customHeight="false" outlineLevel="0" collapsed="false">
      <c r="A218" s="10"/>
      <c r="B218" s="10"/>
      <c r="C218" s="10"/>
      <c r="D218" s="10"/>
      <c r="E218" s="10"/>
      <c r="F218" s="10"/>
      <c r="G218" s="10"/>
      <c r="H218" s="10"/>
      <c r="I218" s="11"/>
      <c r="J218" s="10"/>
      <c r="K218" s="10"/>
      <c r="L218" s="10"/>
      <c r="M218" s="12"/>
      <c r="N218" s="12"/>
      <c r="O218" s="11"/>
      <c r="P218" s="12"/>
      <c r="Q218" s="11"/>
      <c r="R218" s="13" t="str">
        <f aca="false">IF(Q218="","",ROUND(Q218*IFERROR(INDEX(Settings!$B$2:$B$4,MATCH(K218,Settings!$A$2:$A$4,0)),0)+IFERROR(INDEX(Settings!$C$2:$C$4,MATCH(K218,Settings!$A$2:$A$4,0)),0),2))</f>
        <v/>
      </c>
      <c r="S218" s="13" t="str">
        <f aca="false">IF(Q218="","",Q218-R218-N(I218))</f>
        <v/>
      </c>
      <c r="T218" s="14" t="str">
        <f aca="true">IF(N218="","",IF(P218&lt;&gt;"",P218-N218,TODAY()-N218))</f>
        <v/>
      </c>
      <c r="U218" s="10"/>
      <c r="V218" s="14" t="str">
        <f aca="true">IF(AND(L218="Listed",N218&lt;&gt;"",P218=""),IF(TODAY()-N218&gt;=Settings!$B$6,"STALE",""),"")</f>
        <v/>
      </c>
    </row>
    <row r="219" customFormat="false" ht="15" hidden="false" customHeight="false" outlineLevel="0" collapsed="false">
      <c r="A219" s="10"/>
      <c r="B219" s="10"/>
      <c r="C219" s="10"/>
      <c r="D219" s="10"/>
      <c r="E219" s="10"/>
      <c r="F219" s="10"/>
      <c r="G219" s="10"/>
      <c r="H219" s="10"/>
      <c r="I219" s="11"/>
      <c r="J219" s="10"/>
      <c r="K219" s="10"/>
      <c r="L219" s="10"/>
      <c r="M219" s="12"/>
      <c r="N219" s="12"/>
      <c r="O219" s="11"/>
      <c r="P219" s="12"/>
      <c r="Q219" s="11"/>
      <c r="R219" s="13" t="str">
        <f aca="false">IF(Q219="","",ROUND(Q219*IFERROR(INDEX(Settings!$B$2:$B$4,MATCH(K219,Settings!$A$2:$A$4,0)),0)+IFERROR(INDEX(Settings!$C$2:$C$4,MATCH(K219,Settings!$A$2:$A$4,0)),0),2))</f>
        <v/>
      </c>
      <c r="S219" s="13" t="str">
        <f aca="false">IF(Q219="","",Q219-R219-N(I219))</f>
        <v/>
      </c>
      <c r="T219" s="14" t="str">
        <f aca="true">IF(N219="","",IF(P219&lt;&gt;"",P219-N219,TODAY()-N219))</f>
        <v/>
      </c>
      <c r="U219" s="10"/>
      <c r="V219" s="14" t="str">
        <f aca="true">IF(AND(L219="Listed",N219&lt;&gt;"",P219=""),IF(TODAY()-N219&gt;=Settings!$B$6,"STALE",""),"")</f>
        <v/>
      </c>
    </row>
    <row r="220" customFormat="false" ht="15" hidden="false" customHeight="false" outlineLevel="0" collapsed="false">
      <c r="A220" s="10"/>
      <c r="B220" s="10"/>
      <c r="C220" s="10"/>
      <c r="D220" s="10"/>
      <c r="E220" s="10"/>
      <c r="F220" s="10"/>
      <c r="G220" s="10"/>
      <c r="H220" s="10"/>
      <c r="I220" s="11"/>
      <c r="J220" s="10"/>
      <c r="K220" s="10"/>
      <c r="L220" s="10"/>
      <c r="M220" s="12"/>
      <c r="N220" s="12"/>
      <c r="O220" s="11"/>
      <c r="P220" s="12"/>
      <c r="Q220" s="11"/>
      <c r="R220" s="13" t="str">
        <f aca="false">IF(Q220="","",ROUND(Q220*IFERROR(INDEX(Settings!$B$2:$B$4,MATCH(K220,Settings!$A$2:$A$4,0)),0)+IFERROR(INDEX(Settings!$C$2:$C$4,MATCH(K220,Settings!$A$2:$A$4,0)),0),2))</f>
        <v/>
      </c>
      <c r="S220" s="13" t="str">
        <f aca="false">IF(Q220="","",Q220-R220-N(I220))</f>
        <v/>
      </c>
      <c r="T220" s="14" t="str">
        <f aca="true">IF(N220="","",IF(P220&lt;&gt;"",P220-N220,TODAY()-N220))</f>
        <v/>
      </c>
      <c r="U220" s="10"/>
      <c r="V220" s="14" t="str">
        <f aca="true">IF(AND(L220="Listed",N220&lt;&gt;"",P220=""),IF(TODAY()-N220&gt;=Settings!$B$6,"STALE",""),"")</f>
        <v/>
      </c>
    </row>
    <row r="221" customFormat="false" ht="15" hidden="false" customHeight="false" outlineLevel="0" collapsed="false">
      <c r="A221" s="10"/>
      <c r="B221" s="10"/>
      <c r="C221" s="10"/>
      <c r="D221" s="10"/>
      <c r="E221" s="10"/>
      <c r="F221" s="10"/>
      <c r="G221" s="10"/>
      <c r="H221" s="10"/>
      <c r="I221" s="11"/>
      <c r="J221" s="10"/>
      <c r="K221" s="10"/>
      <c r="L221" s="10"/>
      <c r="M221" s="12"/>
      <c r="N221" s="12"/>
      <c r="O221" s="11"/>
      <c r="P221" s="12"/>
      <c r="Q221" s="11"/>
      <c r="R221" s="13" t="str">
        <f aca="false">IF(Q221="","",ROUND(Q221*IFERROR(INDEX(Settings!$B$2:$B$4,MATCH(K221,Settings!$A$2:$A$4,0)),0)+IFERROR(INDEX(Settings!$C$2:$C$4,MATCH(K221,Settings!$A$2:$A$4,0)),0),2))</f>
        <v/>
      </c>
      <c r="S221" s="13" t="str">
        <f aca="false">IF(Q221="","",Q221-R221-N(I221))</f>
        <v/>
      </c>
      <c r="T221" s="14" t="str">
        <f aca="true">IF(N221="","",IF(P221&lt;&gt;"",P221-N221,TODAY()-N221))</f>
        <v/>
      </c>
      <c r="U221" s="10"/>
      <c r="V221" s="14" t="str">
        <f aca="true">IF(AND(L221="Listed",N221&lt;&gt;"",P221=""),IF(TODAY()-N221&gt;=Settings!$B$6,"STALE",""),"")</f>
        <v/>
      </c>
    </row>
    <row r="222" customFormat="false" ht="15" hidden="false" customHeight="false" outlineLevel="0" collapsed="false">
      <c r="A222" s="10"/>
      <c r="B222" s="10"/>
      <c r="C222" s="10"/>
      <c r="D222" s="10"/>
      <c r="E222" s="10"/>
      <c r="F222" s="10"/>
      <c r="G222" s="10"/>
      <c r="H222" s="10"/>
      <c r="I222" s="11"/>
      <c r="J222" s="10"/>
      <c r="K222" s="10"/>
      <c r="L222" s="10"/>
      <c r="M222" s="12"/>
      <c r="N222" s="12"/>
      <c r="O222" s="11"/>
      <c r="P222" s="12"/>
      <c r="Q222" s="11"/>
      <c r="R222" s="13" t="str">
        <f aca="false">IF(Q222="","",ROUND(Q222*IFERROR(INDEX(Settings!$B$2:$B$4,MATCH(K222,Settings!$A$2:$A$4,0)),0)+IFERROR(INDEX(Settings!$C$2:$C$4,MATCH(K222,Settings!$A$2:$A$4,0)),0),2))</f>
        <v/>
      </c>
      <c r="S222" s="13" t="str">
        <f aca="false">IF(Q222="","",Q222-R222-N(I222))</f>
        <v/>
      </c>
      <c r="T222" s="14" t="str">
        <f aca="true">IF(N222="","",IF(P222&lt;&gt;"",P222-N222,TODAY()-N222))</f>
        <v/>
      </c>
      <c r="U222" s="10"/>
      <c r="V222" s="14" t="str">
        <f aca="true">IF(AND(L222="Listed",N222&lt;&gt;"",P222=""),IF(TODAY()-N222&gt;=Settings!$B$6,"STALE",""),"")</f>
        <v/>
      </c>
    </row>
    <row r="223" customFormat="false" ht="15" hidden="false" customHeight="false" outlineLevel="0" collapsed="false">
      <c r="A223" s="10"/>
      <c r="B223" s="10"/>
      <c r="C223" s="10"/>
      <c r="D223" s="10"/>
      <c r="E223" s="10"/>
      <c r="F223" s="10"/>
      <c r="G223" s="10"/>
      <c r="H223" s="10"/>
      <c r="I223" s="11"/>
      <c r="J223" s="10"/>
      <c r="K223" s="10"/>
      <c r="L223" s="10"/>
      <c r="M223" s="12"/>
      <c r="N223" s="12"/>
      <c r="O223" s="11"/>
      <c r="P223" s="12"/>
      <c r="Q223" s="11"/>
      <c r="R223" s="13" t="str">
        <f aca="false">IF(Q223="","",ROUND(Q223*IFERROR(INDEX(Settings!$B$2:$B$4,MATCH(K223,Settings!$A$2:$A$4,0)),0)+IFERROR(INDEX(Settings!$C$2:$C$4,MATCH(K223,Settings!$A$2:$A$4,0)),0),2))</f>
        <v/>
      </c>
      <c r="S223" s="13" t="str">
        <f aca="false">IF(Q223="","",Q223-R223-N(I223))</f>
        <v/>
      </c>
      <c r="T223" s="14" t="str">
        <f aca="true">IF(N223="","",IF(P223&lt;&gt;"",P223-N223,TODAY()-N223))</f>
        <v/>
      </c>
      <c r="U223" s="10"/>
      <c r="V223" s="14" t="str">
        <f aca="true">IF(AND(L223="Listed",N223&lt;&gt;"",P223=""),IF(TODAY()-N223&gt;=Settings!$B$6,"STALE",""),"")</f>
        <v/>
      </c>
    </row>
    <row r="224" customFormat="false" ht="15" hidden="false" customHeight="false" outlineLevel="0" collapsed="false">
      <c r="A224" s="10"/>
      <c r="B224" s="10"/>
      <c r="C224" s="10"/>
      <c r="D224" s="10"/>
      <c r="E224" s="10"/>
      <c r="F224" s="10"/>
      <c r="G224" s="10"/>
      <c r="H224" s="10"/>
      <c r="I224" s="11"/>
      <c r="J224" s="10"/>
      <c r="K224" s="10"/>
      <c r="L224" s="10"/>
      <c r="M224" s="12"/>
      <c r="N224" s="12"/>
      <c r="O224" s="11"/>
      <c r="P224" s="12"/>
      <c r="Q224" s="11"/>
      <c r="R224" s="13" t="str">
        <f aca="false">IF(Q224="","",ROUND(Q224*IFERROR(INDEX(Settings!$B$2:$B$4,MATCH(K224,Settings!$A$2:$A$4,0)),0)+IFERROR(INDEX(Settings!$C$2:$C$4,MATCH(K224,Settings!$A$2:$A$4,0)),0),2))</f>
        <v/>
      </c>
      <c r="S224" s="13" t="str">
        <f aca="false">IF(Q224="","",Q224-R224-N(I224))</f>
        <v/>
      </c>
      <c r="T224" s="14" t="str">
        <f aca="true">IF(N224="","",IF(P224&lt;&gt;"",P224-N224,TODAY()-N224))</f>
        <v/>
      </c>
      <c r="U224" s="10"/>
      <c r="V224" s="14" t="str">
        <f aca="true">IF(AND(L224="Listed",N224&lt;&gt;"",P224=""),IF(TODAY()-N224&gt;=Settings!$B$6,"STALE",""),"")</f>
        <v/>
      </c>
    </row>
    <row r="225" customFormat="false" ht="15" hidden="false" customHeight="false" outlineLevel="0" collapsed="false">
      <c r="A225" s="10"/>
      <c r="B225" s="10"/>
      <c r="C225" s="10"/>
      <c r="D225" s="10"/>
      <c r="E225" s="10"/>
      <c r="F225" s="10"/>
      <c r="G225" s="10"/>
      <c r="H225" s="10"/>
      <c r="I225" s="11"/>
      <c r="J225" s="10"/>
      <c r="K225" s="10"/>
      <c r="L225" s="10"/>
      <c r="M225" s="12"/>
      <c r="N225" s="12"/>
      <c r="O225" s="11"/>
      <c r="P225" s="12"/>
      <c r="Q225" s="11"/>
      <c r="R225" s="13" t="str">
        <f aca="false">IF(Q225="","",ROUND(Q225*IFERROR(INDEX(Settings!$B$2:$B$4,MATCH(K225,Settings!$A$2:$A$4,0)),0)+IFERROR(INDEX(Settings!$C$2:$C$4,MATCH(K225,Settings!$A$2:$A$4,0)),0),2))</f>
        <v/>
      </c>
      <c r="S225" s="13" t="str">
        <f aca="false">IF(Q225="","",Q225-R225-N(I225))</f>
        <v/>
      </c>
      <c r="T225" s="14" t="str">
        <f aca="true">IF(N225="","",IF(P225&lt;&gt;"",P225-N225,TODAY()-N225))</f>
        <v/>
      </c>
      <c r="U225" s="10"/>
      <c r="V225" s="14" t="str">
        <f aca="true">IF(AND(L225="Listed",N225&lt;&gt;"",P225=""),IF(TODAY()-N225&gt;=Settings!$B$6,"STALE",""),"")</f>
        <v/>
      </c>
    </row>
    <row r="226" customFormat="false" ht="15" hidden="false" customHeight="false" outlineLevel="0" collapsed="false">
      <c r="A226" s="10"/>
      <c r="B226" s="10"/>
      <c r="C226" s="10"/>
      <c r="D226" s="10"/>
      <c r="E226" s="10"/>
      <c r="F226" s="10"/>
      <c r="G226" s="10"/>
      <c r="H226" s="10"/>
      <c r="I226" s="11"/>
      <c r="J226" s="10"/>
      <c r="K226" s="10"/>
      <c r="L226" s="10"/>
      <c r="M226" s="12"/>
      <c r="N226" s="12"/>
      <c r="O226" s="11"/>
      <c r="P226" s="12"/>
      <c r="Q226" s="11"/>
      <c r="R226" s="13" t="str">
        <f aca="false">IF(Q226="","",ROUND(Q226*IFERROR(INDEX(Settings!$B$2:$B$4,MATCH(K226,Settings!$A$2:$A$4,0)),0)+IFERROR(INDEX(Settings!$C$2:$C$4,MATCH(K226,Settings!$A$2:$A$4,0)),0),2))</f>
        <v/>
      </c>
      <c r="S226" s="13" t="str">
        <f aca="false">IF(Q226="","",Q226-R226-N(I226))</f>
        <v/>
      </c>
      <c r="T226" s="14" t="str">
        <f aca="true">IF(N226="","",IF(P226&lt;&gt;"",P226-N226,TODAY()-N226))</f>
        <v/>
      </c>
      <c r="U226" s="10"/>
      <c r="V226" s="14" t="str">
        <f aca="true">IF(AND(L226="Listed",N226&lt;&gt;"",P226=""),IF(TODAY()-N226&gt;=Settings!$B$6,"STALE",""),"")</f>
        <v/>
      </c>
    </row>
    <row r="227" customFormat="false" ht="15" hidden="false" customHeight="false" outlineLevel="0" collapsed="false">
      <c r="A227" s="10"/>
      <c r="B227" s="10"/>
      <c r="C227" s="10"/>
      <c r="D227" s="10"/>
      <c r="E227" s="10"/>
      <c r="F227" s="10"/>
      <c r="G227" s="10"/>
      <c r="H227" s="10"/>
      <c r="I227" s="11"/>
      <c r="J227" s="10"/>
      <c r="K227" s="10"/>
      <c r="L227" s="10"/>
      <c r="M227" s="12"/>
      <c r="N227" s="12"/>
      <c r="O227" s="11"/>
      <c r="P227" s="12"/>
      <c r="Q227" s="11"/>
      <c r="R227" s="13" t="str">
        <f aca="false">IF(Q227="","",ROUND(Q227*IFERROR(INDEX(Settings!$B$2:$B$4,MATCH(K227,Settings!$A$2:$A$4,0)),0)+IFERROR(INDEX(Settings!$C$2:$C$4,MATCH(K227,Settings!$A$2:$A$4,0)),0),2))</f>
        <v/>
      </c>
      <c r="S227" s="13" t="str">
        <f aca="false">IF(Q227="","",Q227-R227-N(I227))</f>
        <v/>
      </c>
      <c r="T227" s="14" t="str">
        <f aca="true">IF(N227="","",IF(P227&lt;&gt;"",P227-N227,TODAY()-N227))</f>
        <v/>
      </c>
      <c r="U227" s="10"/>
      <c r="V227" s="14" t="str">
        <f aca="true">IF(AND(L227="Listed",N227&lt;&gt;"",P227=""),IF(TODAY()-N227&gt;=Settings!$B$6,"STALE",""),"")</f>
        <v/>
      </c>
    </row>
    <row r="228" customFormat="false" ht="15" hidden="false" customHeight="false" outlineLevel="0" collapsed="false">
      <c r="A228" s="10"/>
      <c r="B228" s="10"/>
      <c r="C228" s="10"/>
      <c r="D228" s="10"/>
      <c r="E228" s="10"/>
      <c r="F228" s="10"/>
      <c r="G228" s="10"/>
      <c r="H228" s="10"/>
      <c r="I228" s="11"/>
      <c r="J228" s="10"/>
      <c r="K228" s="10"/>
      <c r="L228" s="10"/>
      <c r="M228" s="12"/>
      <c r="N228" s="12"/>
      <c r="O228" s="11"/>
      <c r="P228" s="12"/>
      <c r="Q228" s="11"/>
      <c r="R228" s="13" t="str">
        <f aca="false">IF(Q228="","",ROUND(Q228*IFERROR(INDEX(Settings!$B$2:$B$4,MATCH(K228,Settings!$A$2:$A$4,0)),0)+IFERROR(INDEX(Settings!$C$2:$C$4,MATCH(K228,Settings!$A$2:$A$4,0)),0),2))</f>
        <v/>
      </c>
      <c r="S228" s="13" t="str">
        <f aca="false">IF(Q228="","",Q228-R228-N(I228))</f>
        <v/>
      </c>
      <c r="T228" s="14" t="str">
        <f aca="true">IF(N228="","",IF(P228&lt;&gt;"",P228-N228,TODAY()-N228))</f>
        <v/>
      </c>
      <c r="U228" s="10"/>
      <c r="V228" s="14" t="str">
        <f aca="true">IF(AND(L228="Listed",N228&lt;&gt;"",P228=""),IF(TODAY()-N228&gt;=Settings!$B$6,"STALE",""),"")</f>
        <v/>
      </c>
    </row>
    <row r="229" customFormat="false" ht="15" hidden="false" customHeight="false" outlineLevel="0" collapsed="false">
      <c r="A229" s="10"/>
      <c r="B229" s="10"/>
      <c r="C229" s="10"/>
      <c r="D229" s="10"/>
      <c r="E229" s="10"/>
      <c r="F229" s="10"/>
      <c r="G229" s="10"/>
      <c r="H229" s="10"/>
      <c r="I229" s="11"/>
      <c r="J229" s="10"/>
      <c r="K229" s="10"/>
      <c r="L229" s="10"/>
      <c r="M229" s="12"/>
      <c r="N229" s="12"/>
      <c r="O229" s="11"/>
      <c r="P229" s="12"/>
      <c r="Q229" s="11"/>
      <c r="R229" s="13" t="str">
        <f aca="false">IF(Q229="","",ROUND(Q229*IFERROR(INDEX(Settings!$B$2:$B$4,MATCH(K229,Settings!$A$2:$A$4,0)),0)+IFERROR(INDEX(Settings!$C$2:$C$4,MATCH(K229,Settings!$A$2:$A$4,0)),0),2))</f>
        <v/>
      </c>
      <c r="S229" s="13" t="str">
        <f aca="false">IF(Q229="","",Q229-R229-N(I229))</f>
        <v/>
      </c>
      <c r="T229" s="14" t="str">
        <f aca="true">IF(N229="","",IF(P229&lt;&gt;"",P229-N229,TODAY()-N229))</f>
        <v/>
      </c>
      <c r="U229" s="10"/>
      <c r="V229" s="14" t="str">
        <f aca="true">IF(AND(L229="Listed",N229&lt;&gt;"",P229=""),IF(TODAY()-N229&gt;=Settings!$B$6,"STALE",""),"")</f>
        <v/>
      </c>
    </row>
    <row r="230" customFormat="false" ht="15" hidden="false" customHeight="false" outlineLevel="0" collapsed="false">
      <c r="A230" s="10"/>
      <c r="B230" s="10"/>
      <c r="C230" s="10"/>
      <c r="D230" s="10"/>
      <c r="E230" s="10"/>
      <c r="F230" s="10"/>
      <c r="G230" s="10"/>
      <c r="H230" s="10"/>
      <c r="I230" s="11"/>
      <c r="J230" s="10"/>
      <c r="K230" s="10"/>
      <c r="L230" s="10"/>
      <c r="M230" s="12"/>
      <c r="N230" s="12"/>
      <c r="O230" s="11"/>
      <c r="P230" s="12"/>
      <c r="Q230" s="11"/>
      <c r="R230" s="13" t="str">
        <f aca="false">IF(Q230="","",ROUND(Q230*IFERROR(INDEX(Settings!$B$2:$B$4,MATCH(K230,Settings!$A$2:$A$4,0)),0)+IFERROR(INDEX(Settings!$C$2:$C$4,MATCH(K230,Settings!$A$2:$A$4,0)),0),2))</f>
        <v/>
      </c>
      <c r="S230" s="13" t="str">
        <f aca="false">IF(Q230="","",Q230-R230-N(I230))</f>
        <v/>
      </c>
      <c r="T230" s="14" t="str">
        <f aca="true">IF(N230="","",IF(P230&lt;&gt;"",P230-N230,TODAY()-N230))</f>
        <v/>
      </c>
      <c r="U230" s="10"/>
      <c r="V230" s="14" t="str">
        <f aca="true">IF(AND(L230="Listed",N230&lt;&gt;"",P230=""),IF(TODAY()-N230&gt;=Settings!$B$6,"STALE",""),"")</f>
        <v/>
      </c>
    </row>
    <row r="231" customFormat="false" ht="15" hidden="false" customHeight="false" outlineLevel="0" collapsed="false">
      <c r="A231" s="10"/>
      <c r="B231" s="10"/>
      <c r="C231" s="10"/>
      <c r="D231" s="10"/>
      <c r="E231" s="10"/>
      <c r="F231" s="10"/>
      <c r="G231" s="10"/>
      <c r="H231" s="10"/>
      <c r="I231" s="11"/>
      <c r="J231" s="10"/>
      <c r="K231" s="10"/>
      <c r="L231" s="10"/>
      <c r="M231" s="12"/>
      <c r="N231" s="12"/>
      <c r="O231" s="11"/>
      <c r="P231" s="12"/>
      <c r="Q231" s="11"/>
      <c r="R231" s="13" t="str">
        <f aca="false">IF(Q231="","",ROUND(Q231*IFERROR(INDEX(Settings!$B$2:$B$4,MATCH(K231,Settings!$A$2:$A$4,0)),0)+IFERROR(INDEX(Settings!$C$2:$C$4,MATCH(K231,Settings!$A$2:$A$4,0)),0),2))</f>
        <v/>
      </c>
      <c r="S231" s="13" t="str">
        <f aca="false">IF(Q231="","",Q231-R231-N(I231))</f>
        <v/>
      </c>
      <c r="T231" s="14" t="str">
        <f aca="true">IF(N231="","",IF(P231&lt;&gt;"",P231-N231,TODAY()-N231))</f>
        <v/>
      </c>
      <c r="U231" s="10"/>
      <c r="V231" s="14" t="str">
        <f aca="true">IF(AND(L231="Listed",N231&lt;&gt;"",P231=""),IF(TODAY()-N231&gt;=Settings!$B$6,"STALE",""),"")</f>
        <v/>
      </c>
    </row>
    <row r="232" customFormat="false" ht="15" hidden="false" customHeight="false" outlineLevel="0" collapsed="false">
      <c r="A232" s="10"/>
      <c r="B232" s="10"/>
      <c r="C232" s="10"/>
      <c r="D232" s="10"/>
      <c r="E232" s="10"/>
      <c r="F232" s="10"/>
      <c r="G232" s="10"/>
      <c r="H232" s="10"/>
      <c r="I232" s="11"/>
      <c r="J232" s="10"/>
      <c r="K232" s="10"/>
      <c r="L232" s="10"/>
      <c r="M232" s="12"/>
      <c r="N232" s="12"/>
      <c r="O232" s="11"/>
      <c r="P232" s="12"/>
      <c r="Q232" s="11"/>
      <c r="R232" s="13" t="str">
        <f aca="false">IF(Q232="","",ROUND(Q232*IFERROR(INDEX(Settings!$B$2:$B$4,MATCH(K232,Settings!$A$2:$A$4,0)),0)+IFERROR(INDEX(Settings!$C$2:$C$4,MATCH(K232,Settings!$A$2:$A$4,0)),0),2))</f>
        <v/>
      </c>
      <c r="S232" s="13" t="str">
        <f aca="false">IF(Q232="","",Q232-R232-N(I232))</f>
        <v/>
      </c>
      <c r="T232" s="14" t="str">
        <f aca="true">IF(N232="","",IF(P232&lt;&gt;"",P232-N232,TODAY()-N232))</f>
        <v/>
      </c>
      <c r="U232" s="10"/>
      <c r="V232" s="14" t="str">
        <f aca="true">IF(AND(L232="Listed",N232&lt;&gt;"",P232=""),IF(TODAY()-N232&gt;=Settings!$B$6,"STALE",""),"")</f>
        <v/>
      </c>
    </row>
    <row r="233" customFormat="false" ht="15" hidden="false" customHeight="false" outlineLevel="0" collapsed="false">
      <c r="A233" s="10"/>
      <c r="B233" s="10"/>
      <c r="C233" s="10"/>
      <c r="D233" s="10"/>
      <c r="E233" s="10"/>
      <c r="F233" s="10"/>
      <c r="G233" s="10"/>
      <c r="H233" s="10"/>
      <c r="I233" s="11"/>
      <c r="J233" s="10"/>
      <c r="K233" s="10"/>
      <c r="L233" s="10"/>
      <c r="M233" s="12"/>
      <c r="N233" s="12"/>
      <c r="O233" s="11"/>
      <c r="P233" s="12"/>
      <c r="Q233" s="11"/>
      <c r="R233" s="13" t="str">
        <f aca="false">IF(Q233="","",ROUND(Q233*IFERROR(INDEX(Settings!$B$2:$B$4,MATCH(K233,Settings!$A$2:$A$4,0)),0)+IFERROR(INDEX(Settings!$C$2:$C$4,MATCH(K233,Settings!$A$2:$A$4,0)),0),2))</f>
        <v/>
      </c>
      <c r="S233" s="13" t="str">
        <f aca="false">IF(Q233="","",Q233-R233-N(I233))</f>
        <v/>
      </c>
      <c r="T233" s="14" t="str">
        <f aca="true">IF(N233="","",IF(P233&lt;&gt;"",P233-N233,TODAY()-N233))</f>
        <v/>
      </c>
      <c r="U233" s="10"/>
      <c r="V233" s="14" t="str">
        <f aca="true">IF(AND(L233="Listed",N233&lt;&gt;"",P233=""),IF(TODAY()-N233&gt;=Settings!$B$6,"STALE",""),"")</f>
        <v/>
      </c>
    </row>
    <row r="234" customFormat="false" ht="15" hidden="false" customHeight="false" outlineLevel="0" collapsed="false">
      <c r="A234" s="10"/>
      <c r="B234" s="10"/>
      <c r="C234" s="10"/>
      <c r="D234" s="10"/>
      <c r="E234" s="10"/>
      <c r="F234" s="10"/>
      <c r="G234" s="10"/>
      <c r="H234" s="10"/>
      <c r="I234" s="11"/>
      <c r="J234" s="10"/>
      <c r="K234" s="10"/>
      <c r="L234" s="10"/>
      <c r="M234" s="12"/>
      <c r="N234" s="12"/>
      <c r="O234" s="11"/>
      <c r="P234" s="12"/>
      <c r="Q234" s="11"/>
      <c r="R234" s="13" t="str">
        <f aca="false">IF(Q234="","",ROUND(Q234*IFERROR(INDEX(Settings!$B$2:$B$4,MATCH(K234,Settings!$A$2:$A$4,0)),0)+IFERROR(INDEX(Settings!$C$2:$C$4,MATCH(K234,Settings!$A$2:$A$4,0)),0),2))</f>
        <v/>
      </c>
      <c r="S234" s="13" t="str">
        <f aca="false">IF(Q234="","",Q234-R234-N(I234))</f>
        <v/>
      </c>
      <c r="T234" s="14" t="str">
        <f aca="true">IF(N234="","",IF(P234&lt;&gt;"",P234-N234,TODAY()-N234))</f>
        <v/>
      </c>
      <c r="U234" s="10"/>
      <c r="V234" s="14" t="str">
        <f aca="true">IF(AND(L234="Listed",N234&lt;&gt;"",P234=""),IF(TODAY()-N234&gt;=Settings!$B$6,"STALE",""),"")</f>
        <v/>
      </c>
    </row>
    <row r="235" customFormat="false" ht="15" hidden="false" customHeight="false" outlineLevel="0" collapsed="false">
      <c r="A235" s="10"/>
      <c r="B235" s="10"/>
      <c r="C235" s="10"/>
      <c r="D235" s="10"/>
      <c r="E235" s="10"/>
      <c r="F235" s="10"/>
      <c r="G235" s="10"/>
      <c r="H235" s="10"/>
      <c r="I235" s="11"/>
      <c r="J235" s="10"/>
      <c r="K235" s="10"/>
      <c r="L235" s="10"/>
      <c r="M235" s="12"/>
      <c r="N235" s="12"/>
      <c r="O235" s="11"/>
      <c r="P235" s="12"/>
      <c r="Q235" s="11"/>
      <c r="R235" s="13" t="str">
        <f aca="false">IF(Q235="","",ROUND(Q235*IFERROR(INDEX(Settings!$B$2:$B$4,MATCH(K235,Settings!$A$2:$A$4,0)),0)+IFERROR(INDEX(Settings!$C$2:$C$4,MATCH(K235,Settings!$A$2:$A$4,0)),0),2))</f>
        <v/>
      </c>
      <c r="S235" s="13" t="str">
        <f aca="false">IF(Q235="","",Q235-R235-N(I235))</f>
        <v/>
      </c>
      <c r="T235" s="14" t="str">
        <f aca="true">IF(N235="","",IF(P235&lt;&gt;"",P235-N235,TODAY()-N235))</f>
        <v/>
      </c>
      <c r="U235" s="10"/>
      <c r="V235" s="14" t="str">
        <f aca="true">IF(AND(L235="Listed",N235&lt;&gt;"",P235=""),IF(TODAY()-N235&gt;=Settings!$B$6,"STALE",""),"")</f>
        <v/>
      </c>
    </row>
    <row r="236" customFormat="false" ht="15" hidden="false" customHeight="false" outlineLevel="0" collapsed="false">
      <c r="A236" s="10"/>
      <c r="B236" s="10"/>
      <c r="C236" s="10"/>
      <c r="D236" s="10"/>
      <c r="E236" s="10"/>
      <c r="F236" s="10"/>
      <c r="G236" s="10"/>
      <c r="H236" s="10"/>
      <c r="I236" s="11"/>
      <c r="J236" s="10"/>
      <c r="K236" s="10"/>
      <c r="L236" s="10"/>
      <c r="M236" s="12"/>
      <c r="N236" s="12"/>
      <c r="O236" s="11"/>
      <c r="P236" s="12"/>
      <c r="Q236" s="11"/>
      <c r="R236" s="13" t="str">
        <f aca="false">IF(Q236="","",ROUND(Q236*IFERROR(INDEX(Settings!$B$2:$B$4,MATCH(K236,Settings!$A$2:$A$4,0)),0)+IFERROR(INDEX(Settings!$C$2:$C$4,MATCH(K236,Settings!$A$2:$A$4,0)),0),2))</f>
        <v/>
      </c>
      <c r="S236" s="13" t="str">
        <f aca="false">IF(Q236="","",Q236-R236-N(I236))</f>
        <v/>
      </c>
      <c r="T236" s="14" t="str">
        <f aca="true">IF(N236="","",IF(P236&lt;&gt;"",P236-N236,TODAY()-N236))</f>
        <v/>
      </c>
      <c r="U236" s="10"/>
      <c r="V236" s="14" t="str">
        <f aca="true">IF(AND(L236="Listed",N236&lt;&gt;"",P236=""),IF(TODAY()-N236&gt;=Settings!$B$6,"STALE",""),"")</f>
        <v/>
      </c>
    </row>
    <row r="237" customFormat="false" ht="15" hidden="false" customHeight="false" outlineLevel="0" collapsed="false">
      <c r="A237" s="10"/>
      <c r="B237" s="10"/>
      <c r="C237" s="10"/>
      <c r="D237" s="10"/>
      <c r="E237" s="10"/>
      <c r="F237" s="10"/>
      <c r="G237" s="10"/>
      <c r="H237" s="10"/>
      <c r="I237" s="11"/>
      <c r="J237" s="10"/>
      <c r="K237" s="10"/>
      <c r="L237" s="10"/>
      <c r="M237" s="12"/>
      <c r="N237" s="12"/>
      <c r="O237" s="11"/>
      <c r="P237" s="12"/>
      <c r="Q237" s="11"/>
      <c r="R237" s="13" t="str">
        <f aca="false">IF(Q237="","",ROUND(Q237*IFERROR(INDEX(Settings!$B$2:$B$4,MATCH(K237,Settings!$A$2:$A$4,0)),0)+IFERROR(INDEX(Settings!$C$2:$C$4,MATCH(K237,Settings!$A$2:$A$4,0)),0),2))</f>
        <v/>
      </c>
      <c r="S237" s="13" t="str">
        <f aca="false">IF(Q237="","",Q237-R237-N(I237))</f>
        <v/>
      </c>
      <c r="T237" s="14" t="str">
        <f aca="true">IF(N237="","",IF(P237&lt;&gt;"",P237-N237,TODAY()-N237))</f>
        <v/>
      </c>
      <c r="U237" s="10"/>
      <c r="V237" s="14" t="str">
        <f aca="true">IF(AND(L237="Listed",N237&lt;&gt;"",P237=""),IF(TODAY()-N237&gt;=Settings!$B$6,"STALE",""),"")</f>
        <v/>
      </c>
    </row>
    <row r="238" customFormat="false" ht="15" hidden="false" customHeight="false" outlineLevel="0" collapsed="false">
      <c r="A238" s="10"/>
      <c r="B238" s="10"/>
      <c r="C238" s="10"/>
      <c r="D238" s="10"/>
      <c r="E238" s="10"/>
      <c r="F238" s="10"/>
      <c r="G238" s="10"/>
      <c r="H238" s="10"/>
      <c r="I238" s="11"/>
      <c r="J238" s="10"/>
      <c r="K238" s="10"/>
      <c r="L238" s="10"/>
      <c r="M238" s="12"/>
      <c r="N238" s="12"/>
      <c r="O238" s="11"/>
      <c r="P238" s="12"/>
      <c r="Q238" s="11"/>
      <c r="R238" s="13" t="str">
        <f aca="false">IF(Q238="","",ROUND(Q238*IFERROR(INDEX(Settings!$B$2:$B$4,MATCH(K238,Settings!$A$2:$A$4,0)),0)+IFERROR(INDEX(Settings!$C$2:$C$4,MATCH(K238,Settings!$A$2:$A$4,0)),0),2))</f>
        <v/>
      </c>
      <c r="S238" s="13" t="str">
        <f aca="false">IF(Q238="","",Q238-R238-N(I238))</f>
        <v/>
      </c>
      <c r="T238" s="14" t="str">
        <f aca="true">IF(N238="","",IF(P238&lt;&gt;"",P238-N238,TODAY()-N238))</f>
        <v/>
      </c>
      <c r="U238" s="10"/>
      <c r="V238" s="14" t="str">
        <f aca="true">IF(AND(L238="Listed",N238&lt;&gt;"",P238=""),IF(TODAY()-N238&gt;=Settings!$B$6,"STALE",""),"")</f>
        <v/>
      </c>
    </row>
    <row r="239" customFormat="false" ht="15" hidden="false" customHeight="false" outlineLevel="0" collapsed="false">
      <c r="A239" s="10"/>
      <c r="B239" s="10"/>
      <c r="C239" s="10"/>
      <c r="D239" s="10"/>
      <c r="E239" s="10"/>
      <c r="F239" s="10"/>
      <c r="G239" s="10"/>
      <c r="H239" s="10"/>
      <c r="I239" s="11"/>
      <c r="J239" s="10"/>
      <c r="K239" s="10"/>
      <c r="L239" s="10"/>
      <c r="M239" s="12"/>
      <c r="N239" s="12"/>
      <c r="O239" s="11"/>
      <c r="P239" s="12"/>
      <c r="Q239" s="11"/>
      <c r="R239" s="13" t="str">
        <f aca="false">IF(Q239="","",ROUND(Q239*IFERROR(INDEX(Settings!$B$2:$B$4,MATCH(K239,Settings!$A$2:$A$4,0)),0)+IFERROR(INDEX(Settings!$C$2:$C$4,MATCH(K239,Settings!$A$2:$A$4,0)),0),2))</f>
        <v/>
      </c>
      <c r="S239" s="13" t="str">
        <f aca="false">IF(Q239="","",Q239-R239-N(I239))</f>
        <v/>
      </c>
      <c r="T239" s="14" t="str">
        <f aca="true">IF(N239="","",IF(P239&lt;&gt;"",P239-N239,TODAY()-N239))</f>
        <v/>
      </c>
      <c r="U239" s="10"/>
      <c r="V239" s="14" t="str">
        <f aca="true">IF(AND(L239="Listed",N239&lt;&gt;"",P239=""),IF(TODAY()-N239&gt;=Settings!$B$6,"STALE",""),"")</f>
        <v/>
      </c>
    </row>
    <row r="240" customFormat="false" ht="15" hidden="false" customHeight="false" outlineLevel="0" collapsed="false">
      <c r="A240" s="10"/>
      <c r="B240" s="10"/>
      <c r="C240" s="10"/>
      <c r="D240" s="10"/>
      <c r="E240" s="10"/>
      <c r="F240" s="10"/>
      <c r="G240" s="10"/>
      <c r="H240" s="10"/>
      <c r="I240" s="11"/>
      <c r="J240" s="10"/>
      <c r="K240" s="10"/>
      <c r="L240" s="10"/>
      <c r="M240" s="12"/>
      <c r="N240" s="12"/>
      <c r="O240" s="11"/>
      <c r="P240" s="12"/>
      <c r="Q240" s="11"/>
      <c r="R240" s="13" t="str">
        <f aca="false">IF(Q240="","",ROUND(Q240*IFERROR(INDEX(Settings!$B$2:$B$4,MATCH(K240,Settings!$A$2:$A$4,0)),0)+IFERROR(INDEX(Settings!$C$2:$C$4,MATCH(K240,Settings!$A$2:$A$4,0)),0),2))</f>
        <v/>
      </c>
      <c r="S240" s="13" t="str">
        <f aca="false">IF(Q240="","",Q240-R240-N(I240))</f>
        <v/>
      </c>
      <c r="T240" s="14" t="str">
        <f aca="true">IF(N240="","",IF(P240&lt;&gt;"",P240-N240,TODAY()-N240))</f>
        <v/>
      </c>
      <c r="U240" s="10"/>
      <c r="V240" s="14" t="str">
        <f aca="true">IF(AND(L240="Listed",N240&lt;&gt;"",P240=""),IF(TODAY()-N240&gt;=Settings!$B$6,"STALE",""),"")</f>
        <v/>
      </c>
    </row>
    <row r="241" customFormat="false" ht="15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0"/>
      <c r="I241" s="11"/>
      <c r="J241" s="10"/>
      <c r="K241" s="10"/>
      <c r="L241" s="10"/>
      <c r="M241" s="12"/>
      <c r="N241" s="12"/>
      <c r="O241" s="11"/>
      <c r="P241" s="12"/>
      <c r="Q241" s="11"/>
      <c r="R241" s="13" t="str">
        <f aca="false">IF(Q241="","",ROUND(Q241*IFERROR(INDEX(Settings!$B$2:$B$4,MATCH(K241,Settings!$A$2:$A$4,0)),0)+IFERROR(INDEX(Settings!$C$2:$C$4,MATCH(K241,Settings!$A$2:$A$4,0)),0),2))</f>
        <v/>
      </c>
      <c r="S241" s="13" t="str">
        <f aca="false">IF(Q241="","",Q241-R241-N(I241))</f>
        <v/>
      </c>
      <c r="T241" s="14" t="str">
        <f aca="true">IF(N241="","",IF(P241&lt;&gt;"",P241-N241,TODAY()-N241))</f>
        <v/>
      </c>
      <c r="U241" s="10"/>
      <c r="V241" s="14" t="str">
        <f aca="true">IF(AND(L241="Listed",N241&lt;&gt;"",P241=""),IF(TODAY()-N241&gt;=Settings!$B$6,"STALE",""),"")</f>
        <v/>
      </c>
    </row>
    <row r="242" customFormat="false" ht="15" hidden="false" customHeight="false" outlineLevel="0" collapsed="false">
      <c r="A242" s="10"/>
      <c r="B242" s="10"/>
      <c r="C242" s="10"/>
      <c r="D242" s="10"/>
      <c r="E242" s="10"/>
      <c r="F242" s="10"/>
      <c r="G242" s="10"/>
      <c r="H242" s="10"/>
      <c r="I242" s="11"/>
      <c r="J242" s="10"/>
      <c r="K242" s="10"/>
      <c r="L242" s="10"/>
      <c r="M242" s="12"/>
      <c r="N242" s="12"/>
      <c r="O242" s="11"/>
      <c r="P242" s="12"/>
      <c r="Q242" s="11"/>
      <c r="R242" s="13" t="str">
        <f aca="false">IF(Q242="","",ROUND(Q242*IFERROR(INDEX(Settings!$B$2:$B$4,MATCH(K242,Settings!$A$2:$A$4,0)),0)+IFERROR(INDEX(Settings!$C$2:$C$4,MATCH(K242,Settings!$A$2:$A$4,0)),0),2))</f>
        <v/>
      </c>
      <c r="S242" s="13" t="str">
        <f aca="false">IF(Q242="","",Q242-R242-N(I242))</f>
        <v/>
      </c>
      <c r="T242" s="14" t="str">
        <f aca="true">IF(N242="","",IF(P242&lt;&gt;"",P242-N242,TODAY()-N242))</f>
        <v/>
      </c>
      <c r="U242" s="10"/>
      <c r="V242" s="14" t="str">
        <f aca="true">IF(AND(L242="Listed",N242&lt;&gt;"",P242=""),IF(TODAY()-N242&gt;=Settings!$B$6,"STALE",""),"")</f>
        <v/>
      </c>
    </row>
    <row r="243" customFormat="false" ht="15" hidden="false" customHeight="false" outlineLevel="0" collapsed="false">
      <c r="A243" s="10"/>
      <c r="B243" s="10"/>
      <c r="C243" s="10"/>
      <c r="D243" s="10"/>
      <c r="E243" s="10"/>
      <c r="F243" s="10"/>
      <c r="G243" s="10"/>
      <c r="H243" s="10"/>
      <c r="I243" s="11"/>
      <c r="J243" s="10"/>
      <c r="K243" s="10"/>
      <c r="L243" s="10"/>
      <c r="M243" s="12"/>
      <c r="N243" s="12"/>
      <c r="O243" s="11"/>
      <c r="P243" s="12"/>
      <c r="Q243" s="11"/>
      <c r="R243" s="13" t="str">
        <f aca="false">IF(Q243="","",ROUND(Q243*IFERROR(INDEX(Settings!$B$2:$B$4,MATCH(K243,Settings!$A$2:$A$4,0)),0)+IFERROR(INDEX(Settings!$C$2:$C$4,MATCH(K243,Settings!$A$2:$A$4,0)),0),2))</f>
        <v/>
      </c>
      <c r="S243" s="13" t="str">
        <f aca="false">IF(Q243="","",Q243-R243-N(I243))</f>
        <v/>
      </c>
      <c r="T243" s="14" t="str">
        <f aca="true">IF(N243="","",IF(P243&lt;&gt;"",P243-N243,TODAY()-N243))</f>
        <v/>
      </c>
      <c r="U243" s="10"/>
      <c r="V243" s="14" t="str">
        <f aca="true">IF(AND(L243="Listed",N243&lt;&gt;"",P243=""),IF(TODAY()-N243&gt;=Settings!$B$6,"STALE",""),"")</f>
        <v/>
      </c>
    </row>
    <row r="244" customFormat="false" ht="15" hidden="false" customHeight="false" outlineLevel="0" collapsed="false">
      <c r="A244" s="10"/>
      <c r="B244" s="10"/>
      <c r="C244" s="10"/>
      <c r="D244" s="10"/>
      <c r="E244" s="10"/>
      <c r="F244" s="10"/>
      <c r="G244" s="10"/>
      <c r="H244" s="10"/>
      <c r="I244" s="11"/>
      <c r="J244" s="10"/>
      <c r="K244" s="10"/>
      <c r="L244" s="10"/>
      <c r="M244" s="12"/>
      <c r="N244" s="12"/>
      <c r="O244" s="11"/>
      <c r="P244" s="12"/>
      <c r="Q244" s="11"/>
      <c r="R244" s="13" t="str">
        <f aca="false">IF(Q244="","",ROUND(Q244*IFERROR(INDEX(Settings!$B$2:$B$4,MATCH(K244,Settings!$A$2:$A$4,0)),0)+IFERROR(INDEX(Settings!$C$2:$C$4,MATCH(K244,Settings!$A$2:$A$4,0)),0),2))</f>
        <v/>
      </c>
      <c r="S244" s="13" t="str">
        <f aca="false">IF(Q244="","",Q244-R244-N(I244))</f>
        <v/>
      </c>
      <c r="T244" s="14" t="str">
        <f aca="true">IF(N244="","",IF(P244&lt;&gt;"",P244-N244,TODAY()-N244))</f>
        <v/>
      </c>
      <c r="U244" s="10"/>
      <c r="V244" s="14" t="str">
        <f aca="true">IF(AND(L244="Listed",N244&lt;&gt;"",P244=""),IF(TODAY()-N244&gt;=Settings!$B$6,"STALE",""),"")</f>
        <v/>
      </c>
    </row>
    <row r="245" customFormat="false" ht="15" hidden="false" customHeight="false" outlineLevel="0" collapsed="false">
      <c r="A245" s="10"/>
      <c r="B245" s="10"/>
      <c r="C245" s="10"/>
      <c r="D245" s="10"/>
      <c r="E245" s="10"/>
      <c r="F245" s="10"/>
      <c r="G245" s="10"/>
      <c r="H245" s="10"/>
      <c r="I245" s="11"/>
      <c r="J245" s="10"/>
      <c r="K245" s="10"/>
      <c r="L245" s="10"/>
      <c r="M245" s="12"/>
      <c r="N245" s="12"/>
      <c r="O245" s="11"/>
      <c r="P245" s="12"/>
      <c r="Q245" s="11"/>
      <c r="R245" s="13" t="str">
        <f aca="false">IF(Q245="","",ROUND(Q245*IFERROR(INDEX(Settings!$B$2:$B$4,MATCH(K245,Settings!$A$2:$A$4,0)),0)+IFERROR(INDEX(Settings!$C$2:$C$4,MATCH(K245,Settings!$A$2:$A$4,0)),0),2))</f>
        <v/>
      </c>
      <c r="S245" s="13" t="str">
        <f aca="false">IF(Q245="","",Q245-R245-N(I245))</f>
        <v/>
      </c>
      <c r="T245" s="14" t="str">
        <f aca="true">IF(N245="","",IF(P245&lt;&gt;"",P245-N245,TODAY()-N245))</f>
        <v/>
      </c>
      <c r="U245" s="10"/>
      <c r="V245" s="14" t="str">
        <f aca="true">IF(AND(L245="Listed",N245&lt;&gt;"",P245=""),IF(TODAY()-N245&gt;=Settings!$B$6,"STALE",""),"")</f>
        <v/>
      </c>
    </row>
    <row r="246" customFormat="false" ht="15" hidden="false" customHeight="false" outlineLevel="0" collapsed="false">
      <c r="A246" s="10"/>
      <c r="B246" s="10"/>
      <c r="C246" s="10"/>
      <c r="D246" s="10"/>
      <c r="E246" s="10"/>
      <c r="F246" s="10"/>
      <c r="G246" s="10"/>
      <c r="H246" s="10"/>
      <c r="I246" s="11"/>
      <c r="J246" s="10"/>
      <c r="K246" s="10"/>
      <c r="L246" s="10"/>
      <c r="M246" s="12"/>
      <c r="N246" s="12"/>
      <c r="O246" s="11"/>
      <c r="P246" s="12"/>
      <c r="Q246" s="11"/>
      <c r="R246" s="13" t="str">
        <f aca="false">IF(Q246="","",ROUND(Q246*IFERROR(INDEX(Settings!$B$2:$B$4,MATCH(K246,Settings!$A$2:$A$4,0)),0)+IFERROR(INDEX(Settings!$C$2:$C$4,MATCH(K246,Settings!$A$2:$A$4,0)),0),2))</f>
        <v/>
      </c>
      <c r="S246" s="13" t="str">
        <f aca="false">IF(Q246="","",Q246-R246-N(I246))</f>
        <v/>
      </c>
      <c r="T246" s="14" t="str">
        <f aca="true">IF(N246="","",IF(P246&lt;&gt;"",P246-N246,TODAY()-N246))</f>
        <v/>
      </c>
      <c r="U246" s="10"/>
      <c r="V246" s="14" t="str">
        <f aca="true">IF(AND(L246="Listed",N246&lt;&gt;"",P246=""),IF(TODAY()-N246&gt;=Settings!$B$6,"STALE",""),"")</f>
        <v/>
      </c>
    </row>
    <row r="247" customFormat="false" ht="15" hidden="false" customHeight="false" outlineLevel="0" collapsed="false">
      <c r="A247" s="10"/>
      <c r="B247" s="10"/>
      <c r="C247" s="10"/>
      <c r="D247" s="10"/>
      <c r="E247" s="10"/>
      <c r="F247" s="10"/>
      <c r="G247" s="10"/>
      <c r="H247" s="10"/>
      <c r="I247" s="11"/>
      <c r="J247" s="10"/>
      <c r="K247" s="10"/>
      <c r="L247" s="10"/>
      <c r="M247" s="12"/>
      <c r="N247" s="12"/>
      <c r="O247" s="11"/>
      <c r="P247" s="12"/>
      <c r="Q247" s="11"/>
      <c r="R247" s="13" t="str">
        <f aca="false">IF(Q247="","",ROUND(Q247*IFERROR(INDEX(Settings!$B$2:$B$4,MATCH(K247,Settings!$A$2:$A$4,0)),0)+IFERROR(INDEX(Settings!$C$2:$C$4,MATCH(K247,Settings!$A$2:$A$4,0)),0),2))</f>
        <v/>
      </c>
      <c r="S247" s="13" t="str">
        <f aca="false">IF(Q247="","",Q247-R247-N(I247))</f>
        <v/>
      </c>
      <c r="T247" s="14" t="str">
        <f aca="true">IF(N247="","",IF(P247&lt;&gt;"",P247-N247,TODAY()-N247))</f>
        <v/>
      </c>
      <c r="U247" s="10"/>
      <c r="V247" s="14" t="str">
        <f aca="true">IF(AND(L247="Listed",N247&lt;&gt;"",P247=""),IF(TODAY()-N247&gt;=Settings!$B$6,"STALE",""),"")</f>
        <v/>
      </c>
    </row>
    <row r="248" customFormat="false" ht="15" hidden="false" customHeight="false" outlineLevel="0" collapsed="false">
      <c r="A248" s="10"/>
      <c r="B248" s="10"/>
      <c r="C248" s="10"/>
      <c r="D248" s="10"/>
      <c r="E248" s="10"/>
      <c r="F248" s="10"/>
      <c r="G248" s="10"/>
      <c r="H248" s="10"/>
      <c r="I248" s="11"/>
      <c r="J248" s="10"/>
      <c r="K248" s="10"/>
      <c r="L248" s="10"/>
      <c r="M248" s="12"/>
      <c r="N248" s="12"/>
      <c r="O248" s="11"/>
      <c r="P248" s="12"/>
      <c r="Q248" s="11"/>
      <c r="R248" s="13" t="str">
        <f aca="false">IF(Q248="","",ROUND(Q248*IFERROR(INDEX(Settings!$B$2:$B$4,MATCH(K248,Settings!$A$2:$A$4,0)),0)+IFERROR(INDEX(Settings!$C$2:$C$4,MATCH(K248,Settings!$A$2:$A$4,0)),0),2))</f>
        <v/>
      </c>
      <c r="S248" s="13" t="str">
        <f aca="false">IF(Q248="","",Q248-R248-N(I248))</f>
        <v/>
      </c>
      <c r="T248" s="14" t="str">
        <f aca="true">IF(N248="","",IF(P248&lt;&gt;"",P248-N248,TODAY()-N248))</f>
        <v/>
      </c>
      <c r="U248" s="10"/>
      <c r="V248" s="14" t="str">
        <f aca="true">IF(AND(L248="Listed",N248&lt;&gt;"",P248=""),IF(TODAY()-N248&gt;=Settings!$B$6,"STALE",""),"")</f>
        <v/>
      </c>
    </row>
    <row r="249" customFormat="false" ht="15" hidden="false" customHeight="false" outlineLevel="0" collapsed="false">
      <c r="A249" s="10"/>
      <c r="B249" s="10"/>
      <c r="C249" s="10"/>
      <c r="D249" s="10"/>
      <c r="E249" s="10"/>
      <c r="F249" s="10"/>
      <c r="G249" s="10"/>
      <c r="H249" s="10"/>
      <c r="I249" s="11"/>
      <c r="J249" s="10"/>
      <c r="K249" s="10"/>
      <c r="L249" s="10"/>
      <c r="M249" s="12"/>
      <c r="N249" s="12"/>
      <c r="O249" s="11"/>
      <c r="P249" s="12"/>
      <c r="Q249" s="11"/>
      <c r="R249" s="13" t="str">
        <f aca="false">IF(Q249="","",ROUND(Q249*IFERROR(INDEX(Settings!$B$2:$B$4,MATCH(K249,Settings!$A$2:$A$4,0)),0)+IFERROR(INDEX(Settings!$C$2:$C$4,MATCH(K249,Settings!$A$2:$A$4,0)),0),2))</f>
        <v/>
      </c>
      <c r="S249" s="13" t="str">
        <f aca="false">IF(Q249="","",Q249-R249-N(I249))</f>
        <v/>
      </c>
      <c r="T249" s="14" t="str">
        <f aca="true">IF(N249="","",IF(P249&lt;&gt;"",P249-N249,TODAY()-N249))</f>
        <v/>
      </c>
      <c r="U249" s="10"/>
      <c r="V249" s="14" t="str">
        <f aca="true">IF(AND(L249="Listed",N249&lt;&gt;"",P249=""),IF(TODAY()-N249&gt;=Settings!$B$6,"STALE",""),"")</f>
        <v/>
      </c>
    </row>
    <row r="250" customFormat="false" ht="15" hidden="false" customHeight="false" outlineLevel="0" collapsed="false">
      <c r="A250" s="10"/>
      <c r="B250" s="10"/>
      <c r="C250" s="10"/>
      <c r="D250" s="10"/>
      <c r="E250" s="10"/>
      <c r="F250" s="10"/>
      <c r="G250" s="10"/>
      <c r="H250" s="10"/>
      <c r="I250" s="11"/>
      <c r="J250" s="10"/>
      <c r="K250" s="10"/>
      <c r="L250" s="10"/>
      <c r="M250" s="12"/>
      <c r="N250" s="12"/>
      <c r="O250" s="11"/>
      <c r="P250" s="12"/>
      <c r="Q250" s="11"/>
      <c r="R250" s="13" t="str">
        <f aca="false">IF(Q250="","",ROUND(Q250*IFERROR(INDEX(Settings!$B$2:$B$4,MATCH(K250,Settings!$A$2:$A$4,0)),0)+IFERROR(INDEX(Settings!$C$2:$C$4,MATCH(K250,Settings!$A$2:$A$4,0)),0),2))</f>
        <v/>
      </c>
      <c r="S250" s="13" t="str">
        <f aca="false">IF(Q250="","",Q250-R250-N(I250))</f>
        <v/>
      </c>
      <c r="T250" s="14" t="str">
        <f aca="true">IF(N250="","",IF(P250&lt;&gt;"",P250-N250,TODAY()-N250))</f>
        <v/>
      </c>
      <c r="U250" s="10"/>
      <c r="V250" s="14" t="str">
        <f aca="true">IF(AND(L250="Listed",N250&lt;&gt;"",P250=""),IF(TODAY()-N250&gt;=Settings!$B$6,"STALE",""),"")</f>
        <v/>
      </c>
    </row>
    <row r="251" customFormat="false" ht="15" hidden="false" customHeight="false" outlineLevel="0" collapsed="false">
      <c r="A251" s="10"/>
      <c r="B251" s="10"/>
      <c r="C251" s="10"/>
      <c r="D251" s="10"/>
      <c r="E251" s="10"/>
      <c r="F251" s="10"/>
      <c r="G251" s="10"/>
      <c r="H251" s="10"/>
      <c r="I251" s="11"/>
      <c r="J251" s="10"/>
      <c r="K251" s="10"/>
      <c r="L251" s="10"/>
      <c r="M251" s="12"/>
      <c r="N251" s="12"/>
      <c r="O251" s="11"/>
      <c r="P251" s="12"/>
      <c r="Q251" s="11"/>
      <c r="R251" s="13" t="str">
        <f aca="false">IF(Q251="","",ROUND(Q251*IFERROR(INDEX(Settings!$B$2:$B$4,MATCH(K251,Settings!$A$2:$A$4,0)),0)+IFERROR(INDEX(Settings!$C$2:$C$4,MATCH(K251,Settings!$A$2:$A$4,0)),0),2))</f>
        <v/>
      </c>
      <c r="S251" s="13" t="str">
        <f aca="false">IF(Q251="","",Q251-R251-N(I251))</f>
        <v/>
      </c>
      <c r="T251" s="14" t="str">
        <f aca="true">IF(N251="","",IF(P251&lt;&gt;"",P251-N251,TODAY()-N251))</f>
        <v/>
      </c>
      <c r="U251" s="10"/>
      <c r="V251" s="14" t="str">
        <f aca="true">IF(AND(L251="Listed",N251&lt;&gt;"",P251=""),IF(TODAY()-N251&gt;=Settings!$B$6,"STALE",""),"")</f>
        <v/>
      </c>
    </row>
    <row r="252" customFormat="false" ht="15" hidden="false" customHeight="false" outlineLevel="0" collapsed="false">
      <c r="A252" s="10"/>
      <c r="B252" s="10"/>
      <c r="C252" s="10"/>
      <c r="D252" s="10"/>
      <c r="E252" s="10"/>
      <c r="F252" s="10"/>
      <c r="G252" s="10"/>
      <c r="H252" s="10"/>
      <c r="I252" s="11"/>
      <c r="J252" s="10"/>
      <c r="K252" s="10"/>
      <c r="L252" s="10"/>
      <c r="M252" s="12"/>
      <c r="N252" s="12"/>
      <c r="O252" s="11"/>
      <c r="P252" s="12"/>
      <c r="Q252" s="11"/>
      <c r="R252" s="13" t="str">
        <f aca="false">IF(Q252="","",ROUND(Q252*IFERROR(INDEX(Settings!$B$2:$B$4,MATCH(K252,Settings!$A$2:$A$4,0)),0)+IFERROR(INDEX(Settings!$C$2:$C$4,MATCH(K252,Settings!$A$2:$A$4,0)),0),2))</f>
        <v/>
      </c>
      <c r="S252" s="13" t="str">
        <f aca="false">IF(Q252="","",Q252-R252-N(I252))</f>
        <v/>
      </c>
      <c r="T252" s="14" t="str">
        <f aca="true">IF(N252="","",IF(P252&lt;&gt;"",P252-N252,TODAY()-N252))</f>
        <v/>
      </c>
      <c r="U252" s="10"/>
      <c r="V252" s="14" t="str">
        <f aca="true">IF(AND(L252="Listed",N252&lt;&gt;"",P252=""),IF(TODAY()-N252&gt;=Settings!$B$6,"STALE",""),"")</f>
        <v/>
      </c>
    </row>
    <row r="253" customFormat="false" ht="15" hidden="false" customHeight="false" outlineLevel="0" collapsed="false">
      <c r="A253" s="10"/>
      <c r="B253" s="10"/>
      <c r="C253" s="10"/>
      <c r="D253" s="10"/>
      <c r="E253" s="10"/>
      <c r="F253" s="10"/>
      <c r="G253" s="10"/>
      <c r="H253" s="10"/>
      <c r="I253" s="11"/>
      <c r="J253" s="10"/>
      <c r="K253" s="10"/>
      <c r="L253" s="10"/>
      <c r="M253" s="12"/>
      <c r="N253" s="12"/>
      <c r="O253" s="11"/>
      <c r="P253" s="12"/>
      <c r="Q253" s="11"/>
      <c r="R253" s="13" t="str">
        <f aca="false">IF(Q253="","",ROUND(Q253*IFERROR(INDEX(Settings!$B$2:$B$4,MATCH(K253,Settings!$A$2:$A$4,0)),0)+IFERROR(INDEX(Settings!$C$2:$C$4,MATCH(K253,Settings!$A$2:$A$4,0)),0),2))</f>
        <v/>
      </c>
      <c r="S253" s="13" t="str">
        <f aca="false">IF(Q253="","",Q253-R253-N(I253))</f>
        <v/>
      </c>
      <c r="T253" s="14" t="str">
        <f aca="true">IF(N253="","",IF(P253&lt;&gt;"",P253-N253,TODAY()-N253))</f>
        <v/>
      </c>
      <c r="U253" s="10"/>
      <c r="V253" s="14" t="str">
        <f aca="true">IF(AND(L253="Listed",N253&lt;&gt;"",P253=""),IF(TODAY()-N253&gt;=Settings!$B$6,"STALE",""),"")</f>
        <v/>
      </c>
    </row>
    <row r="254" customFormat="false" ht="15" hidden="false" customHeight="false" outlineLevel="0" collapsed="false">
      <c r="A254" s="10"/>
      <c r="B254" s="10"/>
      <c r="C254" s="10"/>
      <c r="D254" s="10"/>
      <c r="E254" s="10"/>
      <c r="F254" s="10"/>
      <c r="G254" s="10"/>
      <c r="H254" s="10"/>
      <c r="I254" s="11"/>
      <c r="J254" s="10"/>
      <c r="K254" s="10"/>
      <c r="L254" s="10"/>
      <c r="M254" s="12"/>
      <c r="N254" s="12"/>
      <c r="O254" s="11"/>
      <c r="P254" s="12"/>
      <c r="Q254" s="11"/>
      <c r="R254" s="13" t="str">
        <f aca="false">IF(Q254="","",ROUND(Q254*IFERROR(INDEX(Settings!$B$2:$B$4,MATCH(K254,Settings!$A$2:$A$4,0)),0)+IFERROR(INDEX(Settings!$C$2:$C$4,MATCH(K254,Settings!$A$2:$A$4,0)),0),2))</f>
        <v/>
      </c>
      <c r="S254" s="13" t="str">
        <f aca="false">IF(Q254="","",Q254-R254-N(I254))</f>
        <v/>
      </c>
      <c r="T254" s="14" t="str">
        <f aca="true">IF(N254="","",IF(P254&lt;&gt;"",P254-N254,TODAY()-N254))</f>
        <v/>
      </c>
      <c r="U254" s="10"/>
      <c r="V254" s="14" t="str">
        <f aca="true">IF(AND(L254="Listed",N254&lt;&gt;"",P254=""),IF(TODAY()-N254&gt;=Settings!$B$6,"STALE",""),"")</f>
        <v/>
      </c>
    </row>
    <row r="255" customFormat="false" ht="15" hidden="false" customHeight="false" outlineLevel="0" collapsed="false">
      <c r="A255" s="10"/>
      <c r="B255" s="10"/>
      <c r="C255" s="10"/>
      <c r="D255" s="10"/>
      <c r="E255" s="10"/>
      <c r="F255" s="10"/>
      <c r="G255" s="10"/>
      <c r="H255" s="10"/>
      <c r="I255" s="11"/>
      <c r="J255" s="10"/>
      <c r="K255" s="10"/>
      <c r="L255" s="10"/>
      <c r="M255" s="12"/>
      <c r="N255" s="12"/>
      <c r="O255" s="11"/>
      <c r="P255" s="12"/>
      <c r="Q255" s="11"/>
      <c r="R255" s="13" t="str">
        <f aca="false">IF(Q255="","",ROUND(Q255*IFERROR(INDEX(Settings!$B$2:$B$4,MATCH(K255,Settings!$A$2:$A$4,0)),0)+IFERROR(INDEX(Settings!$C$2:$C$4,MATCH(K255,Settings!$A$2:$A$4,0)),0),2))</f>
        <v/>
      </c>
      <c r="S255" s="13" t="str">
        <f aca="false">IF(Q255="","",Q255-R255-N(I255))</f>
        <v/>
      </c>
      <c r="T255" s="14" t="str">
        <f aca="true">IF(N255="","",IF(P255&lt;&gt;"",P255-N255,TODAY()-N255))</f>
        <v/>
      </c>
      <c r="U255" s="10"/>
      <c r="V255" s="14" t="str">
        <f aca="true">IF(AND(L255="Listed",N255&lt;&gt;"",P255=""),IF(TODAY()-N255&gt;=Settings!$B$6,"STALE",""),"")</f>
        <v/>
      </c>
    </row>
    <row r="256" customFormat="false" ht="15" hidden="false" customHeight="false" outlineLevel="0" collapsed="false">
      <c r="A256" s="10"/>
      <c r="B256" s="10"/>
      <c r="C256" s="10"/>
      <c r="D256" s="10"/>
      <c r="E256" s="10"/>
      <c r="F256" s="10"/>
      <c r="G256" s="10"/>
      <c r="H256" s="10"/>
      <c r="I256" s="11"/>
      <c r="J256" s="10"/>
      <c r="K256" s="10"/>
      <c r="L256" s="10"/>
      <c r="M256" s="12"/>
      <c r="N256" s="12"/>
      <c r="O256" s="11"/>
      <c r="P256" s="12"/>
      <c r="Q256" s="11"/>
      <c r="R256" s="13" t="str">
        <f aca="false">IF(Q256="","",ROUND(Q256*IFERROR(INDEX(Settings!$B$2:$B$4,MATCH(K256,Settings!$A$2:$A$4,0)),0)+IFERROR(INDEX(Settings!$C$2:$C$4,MATCH(K256,Settings!$A$2:$A$4,0)),0),2))</f>
        <v/>
      </c>
      <c r="S256" s="13" t="str">
        <f aca="false">IF(Q256="","",Q256-R256-N(I256))</f>
        <v/>
      </c>
      <c r="T256" s="14" t="str">
        <f aca="true">IF(N256="","",IF(P256&lt;&gt;"",P256-N256,TODAY()-N256))</f>
        <v/>
      </c>
      <c r="U256" s="10"/>
      <c r="V256" s="14" t="str">
        <f aca="true">IF(AND(L256="Listed",N256&lt;&gt;"",P256=""),IF(TODAY()-N256&gt;=Settings!$B$6,"STALE",""),"")</f>
        <v/>
      </c>
    </row>
    <row r="257" customFormat="false" ht="15" hidden="false" customHeight="false" outlineLevel="0" collapsed="false">
      <c r="A257" s="10"/>
      <c r="B257" s="10"/>
      <c r="C257" s="10"/>
      <c r="D257" s="10"/>
      <c r="E257" s="10"/>
      <c r="F257" s="10"/>
      <c r="G257" s="10"/>
      <c r="H257" s="10"/>
      <c r="I257" s="11"/>
      <c r="J257" s="10"/>
      <c r="K257" s="10"/>
      <c r="L257" s="10"/>
      <c r="M257" s="12"/>
      <c r="N257" s="12"/>
      <c r="O257" s="11"/>
      <c r="P257" s="12"/>
      <c r="Q257" s="11"/>
      <c r="R257" s="13" t="str">
        <f aca="false">IF(Q257="","",ROUND(Q257*IFERROR(INDEX(Settings!$B$2:$B$4,MATCH(K257,Settings!$A$2:$A$4,0)),0)+IFERROR(INDEX(Settings!$C$2:$C$4,MATCH(K257,Settings!$A$2:$A$4,0)),0),2))</f>
        <v/>
      </c>
      <c r="S257" s="13" t="str">
        <f aca="false">IF(Q257="","",Q257-R257-N(I257))</f>
        <v/>
      </c>
      <c r="T257" s="14" t="str">
        <f aca="true">IF(N257="","",IF(P257&lt;&gt;"",P257-N257,TODAY()-N257))</f>
        <v/>
      </c>
      <c r="U257" s="10"/>
      <c r="V257" s="14" t="str">
        <f aca="true">IF(AND(L257="Listed",N257&lt;&gt;"",P257=""),IF(TODAY()-N257&gt;=Settings!$B$6,"STALE",""),"")</f>
        <v/>
      </c>
    </row>
    <row r="258" customFormat="false" ht="15" hidden="false" customHeight="false" outlineLevel="0" collapsed="false">
      <c r="A258" s="10"/>
      <c r="B258" s="10"/>
      <c r="C258" s="10"/>
      <c r="D258" s="10"/>
      <c r="E258" s="10"/>
      <c r="F258" s="10"/>
      <c r="G258" s="10"/>
      <c r="H258" s="10"/>
      <c r="I258" s="11"/>
      <c r="J258" s="10"/>
      <c r="K258" s="10"/>
      <c r="L258" s="10"/>
      <c r="M258" s="12"/>
      <c r="N258" s="12"/>
      <c r="O258" s="11"/>
      <c r="P258" s="12"/>
      <c r="Q258" s="11"/>
      <c r="R258" s="13" t="str">
        <f aca="false">IF(Q258="","",ROUND(Q258*IFERROR(INDEX(Settings!$B$2:$B$4,MATCH(K258,Settings!$A$2:$A$4,0)),0)+IFERROR(INDEX(Settings!$C$2:$C$4,MATCH(K258,Settings!$A$2:$A$4,0)),0),2))</f>
        <v/>
      </c>
      <c r="S258" s="13" t="str">
        <f aca="false">IF(Q258="","",Q258-R258-N(I258))</f>
        <v/>
      </c>
      <c r="T258" s="14" t="str">
        <f aca="true">IF(N258="","",IF(P258&lt;&gt;"",P258-N258,TODAY()-N258))</f>
        <v/>
      </c>
      <c r="U258" s="10"/>
      <c r="V258" s="14" t="str">
        <f aca="true">IF(AND(L258="Listed",N258&lt;&gt;"",P258=""),IF(TODAY()-N258&gt;=Settings!$B$6,"STALE",""),"")</f>
        <v/>
      </c>
    </row>
    <row r="259" customFormat="false" ht="15" hidden="false" customHeight="false" outlineLevel="0" collapsed="false">
      <c r="A259" s="10"/>
      <c r="B259" s="10"/>
      <c r="C259" s="10"/>
      <c r="D259" s="10"/>
      <c r="E259" s="10"/>
      <c r="F259" s="10"/>
      <c r="G259" s="10"/>
      <c r="H259" s="10"/>
      <c r="I259" s="11"/>
      <c r="J259" s="10"/>
      <c r="K259" s="10"/>
      <c r="L259" s="10"/>
      <c r="M259" s="12"/>
      <c r="N259" s="12"/>
      <c r="O259" s="11"/>
      <c r="P259" s="12"/>
      <c r="Q259" s="11"/>
      <c r="R259" s="13" t="str">
        <f aca="false">IF(Q259="","",ROUND(Q259*IFERROR(INDEX(Settings!$B$2:$B$4,MATCH(K259,Settings!$A$2:$A$4,0)),0)+IFERROR(INDEX(Settings!$C$2:$C$4,MATCH(K259,Settings!$A$2:$A$4,0)),0),2))</f>
        <v/>
      </c>
      <c r="S259" s="13" t="str">
        <f aca="false">IF(Q259="","",Q259-R259-N(I259))</f>
        <v/>
      </c>
      <c r="T259" s="14" t="str">
        <f aca="true">IF(N259="","",IF(P259&lt;&gt;"",P259-N259,TODAY()-N259))</f>
        <v/>
      </c>
      <c r="U259" s="10"/>
      <c r="V259" s="14" t="str">
        <f aca="true">IF(AND(L259="Listed",N259&lt;&gt;"",P259=""),IF(TODAY()-N259&gt;=Settings!$B$6,"STALE",""),"")</f>
        <v/>
      </c>
    </row>
    <row r="260" customFormat="false" ht="15" hidden="false" customHeight="false" outlineLevel="0" collapsed="false">
      <c r="A260" s="10"/>
      <c r="B260" s="10"/>
      <c r="C260" s="10"/>
      <c r="D260" s="10"/>
      <c r="E260" s="10"/>
      <c r="F260" s="10"/>
      <c r="G260" s="10"/>
      <c r="H260" s="10"/>
      <c r="I260" s="11"/>
      <c r="J260" s="10"/>
      <c r="K260" s="10"/>
      <c r="L260" s="10"/>
      <c r="M260" s="12"/>
      <c r="N260" s="12"/>
      <c r="O260" s="11"/>
      <c r="P260" s="12"/>
      <c r="Q260" s="11"/>
      <c r="R260" s="13" t="str">
        <f aca="false">IF(Q260="","",ROUND(Q260*IFERROR(INDEX(Settings!$B$2:$B$4,MATCH(K260,Settings!$A$2:$A$4,0)),0)+IFERROR(INDEX(Settings!$C$2:$C$4,MATCH(K260,Settings!$A$2:$A$4,0)),0),2))</f>
        <v/>
      </c>
      <c r="S260" s="13" t="str">
        <f aca="false">IF(Q260="","",Q260-R260-N(I260))</f>
        <v/>
      </c>
      <c r="T260" s="14" t="str">
        <f aca="true">IF(N260="","",IF(P260&lt;&gt;"",P260-N260,TODAY()-N260))</f>
        <v/>
      </c>
      <c r="U260" s="10"/>
      <c r="V260" s="14" t="str">
        <f aca="true">IF(AND(L260="Listed",N260&lt;&gt;"",P260=""),IF(TODAY()-N260&gt;=Settings!$B$6,"STALE",""),"")</f>
        <v/>
      </c>
    </row>
    <row r="261" customFormat="false" ht="15" hidden="false" customHeight="false" outlineLevel="0" collapsed="false">
      <c r="A261" s="10"/>
      <c r="B261" s="10"/>
      <c r="C261" s="10"/>
      <c r="D261" s="10"/>
      <c r="E261" s="10"/>
      <c r="F261" s="10"/>
      <c r="G261" s="10"/>
      <c r="H261" s="10"/>
      <c r="I261" s="11"/>
      <c r="J261" s="10"/>
      <c r="K261" s="10"/>
      <c r="L261" s="10"/>
      <c r="M261" s="12"/>
      <c r="N261" s="12"/>
      <c r="O261" s="11"/>
      <c r="P261" s="12"/>
      <c r="Q261" s="11"/>
      <c r="R261" s="13" t="str">
        <f aca="false">IF(Q261="","",ROUND(Q261*IFERROR(INDEX(Settings!$B$2:$B$4,MATCH(K261,Settings!$A$2:$A$4,0)),0)+IFERROR(INDEX(Settings!$C$2:$C$4,MATCH(K261,Settings!$A$2:$A$4,0)),0),2))</f>
        <v/>
      </c>
      <c r="S261" s="13" t="str">
        <f aca="false">IF(Q261="","",Q261-R261-N(I261))</f>
        <v/>
      </c>
      <c r="T261" s="14" t="str">
        <f aca="true">IF(N261="","",IF(P261&lt;&gt;"",P261-N261,TODAY()-N261))</f>
        <v/>
      </c>
      <c r="U261" s="10"/>
      <c r="V261" s="14" t="str">
        <f aca="true">IF(AND(L261="Listed",N261&lt;&gt;"",P261=""),IF(TODAY()-N261&gt;=Settings!$B$6,"STALE",""),"")</f>
        <v/>
      </c>
    </row>
    <row r="262" customFormat="false" ht="15" hidden="false" customHeight="false" outlineLevel="0" collapsed="false">
      <c r="A262" s="10"/>
      <c r="B262" s="10"/>
      <c r="C262" s="10"/>
      <c r="D262" s="10"/>
      <c r="E262" s="10"/>
      <c r="F262" s="10"/>
      <c r="G262" s="10"/>
      <c r="H262" s="10"/>
      <c r="I262" s="11"/>
      <c r="J262" s="10"/>
      <c r="K262" s="10"/>
      <c r="L262" s="10"/>
      <c r="M262" s="12"/>
      <c r="N262" s="12"/>
      <c r="O262" s="11"/>
      <c r="P262" s="12"/>
      <c r="Q262" s="11"/>
      <c r="R262" s="13" t="str">
        <f aca="false">IF(Q262="","",ROUND(Q262*IFERROR(INDEX(Settings!$B$2:$B$4,MATCH(K262,Settings!$A$2:$A$4,0)),0)+IFERROR(INDEX(Settings!$C$2:$C$4,MATCH(K262,Settings!$A$2:$A$4,0)),0),2))</f>
        <v/>
      </c>
      <c r="S262" s="13" t="str">
        <f aca="false">IF(Q262="","",Q262-R262-N(I262))</f>
        <v/>
      </c>
      <c r="T262" s="14" t="str">
        <f aca="true">IF(N262="","",IF(P262&lt;&gt;"",P262-N262,TODAY()-N262))</f>
        <v/>
      </c>
      <c r="U262" s="10"/>
      <c r="V262" s="14" t="str">
        <f aca="true">IF(AND(L262="Listed",N262&lt;&gt;"",P262=""),IF(TODAY()-N262&gt;=Settings!$B$6,"STALE",""),"")</f>
        <v/>
      </c>
    </row>
    <row r="263" customFormat="false" ht="15" hidden="false" customHeight="false" outlineLevel="0" collapsed="false">
      <c r="A263" s="10"/>
      <c r="B263" s="10"/>
      <c r="C263" s="10"/>
      <c r="D263" s="10"/>
      <c r="E263" s="10"/>
      <c r="F263" s="10"/>
      <c r="G263" s="10"/>
      <c r="H263" s="10"/>
      <c r="I263" s="11"/>
      <c r="J263" s="10"/>
      <c r="K263" s="10"/>
      <c r="L263" s="10"/>
      <c r="M263" s="12"/>
      <c r="N263" s="12"/>
      <c r="O263" s="11"/>
      <c r="P263" s="12"/>
      <c r="Q263" s="11"/>
      <c r="R263" s="13" t="str">
        <f aca="false">IF(Q263="","",ROUND(Q263*IFERROR(INDEX(Settings!$B$2:$B$4,MATCH(K263,Settings!$A$2:$A$4,0)),0)+IFERROR(INDEX(Settings!$C$2:$C$4,MATCH(K263,Settings!$A$2:$A$4,0)),0),2))</f>
        <v/>
      </c>
      <c r="S263" s="13" t="str">
        <f aca="false">IF(Q263="","",Q263-R263-N(I263))</f>
        <v/>
      </c>
      <c r="T263" s="14" t="str">
        <f aca="true">IF(N263="","",IF(P263&lt;&gt;"",P263-N263,TODAY()-N263))</f>
        <v/>
      </c>
      <c r="U263" s="10"/>
      <c r="V263" s="14" t="str">
        <f aca="true">IF(AND(L263="Listed",N263&lt;&gt;"",P263=""),IF(TODAY()-N263&gt;=Settings!$B$6,"STALE",""),"")</f>
        <v/>
      </c>
    </row>
    <row r="264" customFormat="false" ht="15" hidden="false" customHeight="false" outlineLevel="0" collapsed="false">
      <c r="A264" s="10"/>
      <c r="B264" s="10"/>
      <c r="C264" s="10"/>
      <c r="D264" s="10"/>
      <c r="E264" s="10"/>
      <c r="F264" s="10"/>
      <c r="G264" s="10"/>
      <c r="H264" s="10"/>
      <c r="I264" s="11"/>
      <c r="J264" s="10"/>
      <c r="K264" s="10"/>
      <c r="L264" s="10"/>
      <c r="M264" s="12"/>
      <c r="N264" s="12"/>
      <c r="O264" s="11"/>
      <c r="P264" s="12"/>
      <c r="Q264" s="11"/>
      <c r="R264" s="13" t="str">
        <f aca="false">IF(Q264="","",ROUND(Q264*IFERROR(INDEX(Settings!$B$2:$B$4,MATCH(K264,Settings!$A$2:$A$4,0)),0)+IFERROR(INDEX(Settings!$C$2:$C$4,MATCH(K264,Settings!$A$2:$A$4,0)),0),2))</f>
        <v/>
      </c>
      <c r="S264" s="13" t="str">
        <f aca="false">IF(Q264="","",Q264-R264-N(I264))</f>
        <v/>
      </c>
      <c r="T264" s="14" t="str">
        <f aca="true">IF(N264="","",IF(P264&lt;&gt;"",P264-N264,TODAY()-N264))</f>
        <v/>
      </c>
      <c r="U264" s="10"/>
      <c r="V264" s="14" t="str">
        <f aca="true">IF(AND(L264="Listed",N264&lt;&gt;"",P264=""),IF(TODAY()-N264&gt;=Settings!$B$6,"STALE",""),"")</f>
        <v/>
      </c>
    </row>
    <row r="265" customFormat="false" ht="15" hidden="false" customHeight="false" outlineLevel="0" collapsed="false">
      <c r="A265" s="10"/>
      <c r="B265" s="10"/>
      <c r="C265" s="10"/>
      <c r="D265" s="10"/>
      <c r="E265" s="10"/>
      <c r="F265" s="10"/>
      <c r="G265" s="10"/>
      <c r="H265" s="10"/>
      <c r="I265" s="11"/>
      <c r="J265" s="10"/>
      <c r="K265" s="10"/>
      <c r="L265" s="10"/>
      <c r="M265" s="12"/>
      <c r="N265" s="12"/>
      <c r="O265" s="11"/>
      <c r="P265" s="12"/>
      <c r="Q265" s="11"/>
      <c r="R265" s="13" t="str">
        <f aca="false">IF(Q265="","",ROUND(Q265*IFERROR(INDEX(Settings!$B$2:$B$4,MATCH(K265,Settings!$A$2:$A$4,0)),0)+IFERROR(INDEX(Settings!$C$2:$C$4,MATCH(K265,Settings!$A$2:$A$4,0)),0),2))</f>
        <v/>
      </c>
      <c r="S265" s="13" t="str">
        <f aca="false">IF(Q265="","",Q265-R265-N(I265))</f>
        <v/>
      </c>
      <c r="T265" s="14" t="str">
        <f aca="true">IF(N265="","",IF(P265&lt;&gt;"",P265-N265,TODAY()-N265))</f>
        <v/>
      </c>
      <c r="U265" s="10"/>
      <c r="V265" s="14" t="str">
        <f aca="true">IF(AND(L265="Listed",N265&lt;&gt;"",P265=""),IF(TODAY()-N265&gt;=Settings!$B$6,"STALE",""),"")</f>
        <v/>
      </c>
    </row>
    <row r="266" customFormat="false" ht="15" hidden="false" customHeight="false" outlineLevel="0" collapsed="false">
      <c r="A266" s="10"/>
      <c r="B266" s="10"/>
      <c r="C266" s="10"/>
      <c r="D266" s="10"/>
      <c r="E266" s="10"/>
      <c r="F266" s="10"/>
      <c r="G266" s="10"/>
      <c r="H266" s="10"/>
      <c r="I266" s="11"/>
      <c r="J266" s="10"/>
      <c r="K266" s="10"/>
      <c r="L266" s="10"/>
      <c r="M266" s="12"/>
      <c r="N266" s="12"/>
      <c r="O266" s="11"/>
      <c r="P266" s="12"/>
      <c r="Q266" s="11"/>
      <c r="R266" s="13" t="str">
        <f aca="false">IF(Q266="","",ROUND(Q266*IFERROR(INDEX(Settings!$B$2:$B$4,MATCH(K266,Settings!$A$2:$A$4,0)),0)+IFERROR(INDEX(Settings!$C$2:$C$4,MATCH(K266,Settings!$A$2:$A$4,0)),0),2))</f>
        <v/>
      </c>
      <c r="S266" s="13" t="str">
        <f aca="false">IF(Q266="","",Q266-R266-N(I266))</f>
        <v/>
      </c>
      <c r="T266" s="14" t="str">
        <f aca="true">IF(N266="","",IF(P266&lt;&gt;"",P266-N266,TODAY()-N266))</f>
        <v/>
      </c>
      <c r="U266" s="10"/>
      <c r="V266" s="14" t="str">
        <f aca="true">IF(AND(L266="Listed",N266&lt;&gt;"",P266=""),IF(TODAY()-N266&gt;=Settings!$B$6,"STALE",""),"")</f>
        <v/>
      </c>
    </row>
    <row r="267" customFormat="false" ht="15" hidden="false" customHeight="false" outlineLevel="0" collapsed="false">
      <c r="A267" s="10"/>
      <c r="B267" s="10"/>
      <c r="C267" s="10"/>
      <c r="D267" s="10"/>
      <c r="E267" s="10"/>
      <c r="F267" s="10"/>
      <c r="G267" s="10"/>
      <c r="H267" s="10"/>
      <c r="I267" s="11"/>
      <c r="J267" s="10"/>
      <c r="K267" s="10"/>
      <c r="L267" s="10"/>
      <c r="M267" s="12"/>
      <c r="N267" s="12"/>
      <c r="O267" s="11"/>
      <c r="P267" s="12"/>
      <c r="Q267" s="11"/>
      <c r="R267" s="13" t="str">
        <f aca="false">IF(Q267="","",ROUND(Q267*IFERROR(INDEX(Settings!$B$2:$B$4,MATCH(K267,Settings!$A$2:$A$4,0)),0)+IFERROR(INDEX(Settings!$C$2:$C$4,MATCH(K267,Settings!$A$2:$A$4,0)),0),2))</f>
        <v/>
      </c>
      <c r="S267" s="13" t="str">
        <f aca="false">IF(Q267="","",Q267-R267-N(I267))</f>
        <v/>
      </c>
      <c r="T267" s="14" t="str">
        <f aca="true">IF(N267="","",IF(P267&lt;&gt;"",P267-N267,TODAY()-N267))</f>
        <v/>
      </c>
      <c r="U267" s="10"/>
      <c r="V267" s="14" t="str">
        <f aca="true">IF(AND(L267="Listed",N267&lt;&gt;"",P267=""),IF(TODAY()-N267&gt;=Settings!$B$6,"STALE",""),"")</f>
        <v/>
      </c>
    </row>
    <row r="268" customFormat="false" ht="15" hidden="false" customHeight="false" outlineLevel="0" collapsed="false">
      <c r="A268" s="10"/>
      <c r="B268" s="10"/>
      <c r="C268" s="10"/>
      <c r="D268" s="10"/>
      <c r="E268" s="10"/>
      <c r="F268" s="10"/>
      <c r="G268" s="10"/>
      <c r="H268" s="10"/>
      <c r="I268" s="11"/>
      <c r="J268" s="10"/>
      <c r="K268" s="10"/>
      <c r="L268" s="10"/>
      <c r="M268" s="12"/>
      <c r="N268" s="12"/>
      <c r="O268" s="11"/>
      <c r="P268" s="12"/>
      <c r="Q268" s="11"/>
      <c r="R268" s="13" t="str">
        <f aca="false">IF(Q268="","",ROUND(Q268*IFERROR(INDEX(Settings!$B$2:$B$4,MATCH(K268,Settings!$A$2:$A$4,0)),0)+IFERROR(INDEX(Settings!$C$2:$C$4,MATCH(K268,Settings!$A$2:$A$4,0)),0),2))</f>
        <v/>
      </c>
      <c r="S268" s="13" t="str">
        <f aca="false">IF(Q268="","",Q268-R268-N(I268))</f>
        <v/>
      </c>
      <c r="T268" s="14" t="str">
        <f aca="true">IF(N268="","",IF(P268&lt;&gt;"",P268-N268,TODAY()-N268))</f>
        <v/>
      </c>
      <c r="U268" s="10"/>
      <c r="V268" s="14" t="str">
        <f aca="true">IF(AND(L268="Listed",N268&lt;&gt;"",P268=""),IF(TODAY()-N268&gt;=Settings!$B$6,"STALE",""),"")</f>
        <v/>
      </c>
    </row>
    <row r="269" customFormat="false" ht="15" hidden="false" customHeight="false" outlineLevel="0" collapsed="false">
      <c r="A269" s="10"/>
      <c r="B269" s="10"/>
      <c r="C269" s="10"/>
      <c r="D269" s="10"/>
      <c r="E269" s="10"/>
      <c r="F269" s="10"/>
      <c r="G269" s="10"/>
      <c r="H269" s="10"/>
      <c r="I269" s="11"/>
      <c r="J269" s="10"/>
      <c r="K269" s="10"/>
      <c r="L269" s="10"/>
      <c r="M269" s="12"/>
      <c r="N269" s="12"/>
      <c r="O269" s="11"/>
      <c r="P269" s="12"/>
      <c r="Q269" s="11"/>
      <c r="R269" s="13" t="str">
        <f aca="false">IF(Q269="","",ROUND(Q269*IFERROR(INDEX(Settings!$B$2:$B$4,MATCH(K269,Settings!$A$2:$A$4,0)),0)+IFERROR(INDEX(Settings!$C$2:$C$4,MATCH(K269,Settings!$A$2:$A$4,0)),0),2))</f>
        <v/>
      </c>
      <c r="S269" s="13" t="str">
        <f aca="false">IF(Q269="","",Q269-R269-N(I269))</f>
        <v/>
      </c>
      <c r="T269" s="14" t="str">
        <f aca="true">IF(N269="","",IF(P269&lt;&gt;"",P269-N269,TODAY()-N269))</f>
        <v/>
      </c>
      <c r="U269" s="10"/>
      <c r="V269" s="14" t="str">
        <f aca="true">IF(AND(L269="Listed",N269&lt;&gt;"",P269=""),IF(TODAY()-N269&gt;=Settings!$B$6,"STALE",""),"")</f>
        <v/>
      </c>
    </row>
    <row r="270" customFormat="false" ht="15" hidden="false" customHeight="false" outlineLevel="0" collapsed="false">
      <c r="A270" s="10"/>
      <c r="B270" s="10"/>
      <c r="C270" s="10"/>
      <c r="D270" s="10"/>
      <c r="E270" s="10"/>
      <c r="F270" s="10"/>
      <c r="G270" s="10"/>
      <c r="H270" s="10"/>
      <c r="I270" s="11"/>
      <c r="J270" s="10"/>
      <c r="K270" s="10"/>
      <c r="L270" s="10"/>
      <c r="M270" s="12"/>
      <c r="N270" s="12"/>
      <c r="O270" s="11"/>
      <c r="P270" s="12"/>
      <c r="Q270" s="11"/>
      <c r="R270" s="13" t="str">
        <f aca="false">IF(Q270="","",ROUND(Q270*IFERROR(INDEX(Settings!$B$2:$B$4,MATCH(K270,Settings!$A$2:$A$4,0)),0)+IFERROR(INDEX(Settings!$C$2:$C$4,MATCH(K270,Settings!$A$2:$A$4,0)),0),2))</f>
        <v/>
      </c>
      <c r="S270" s="13" t="str">
        <f aca="false">IF(Q270="","",Q270-R270-N(I270))</f>
        <v/>
      </c>
      <c r="T270" s="14" t="str">
        <f aca="true">IF(N270="","",IF(P270&lt;&gt;"",P270-N270,TODAY()-N270))</f>
        <v/>
      </c>
      <c r="U270" s="10"/>
      <c r="V270" s="14" t="str">
        <f aca="true">IF(AND(L270="Listed",N270&lt;&gt;"",P270=""),IF(TODAY()-N270&gt;=Settings!$B$6,"STALE",""),"")</f>
        <v/>
      </c>
    </row>
    <row r="271" customFormat="false" ht="15" hidden="false" customHeight="false" outlineLevel="0" collapsed="false">
      <c r="A271" s="10"/>
      <c r="B271" s="10"/>
      <c r="C271" s="10"/>
      <c r="D271" s="10"/>
      <c r="E271" s="10"/>
      <c r="F271" s="10"/>
      <c r="G271" s="10"/>
      <c r="H271" s="10"/>
      <c r="I271" s="11"/>
      <c r="J271" s="10"/>
      <c r="K271" s="10"/>
      <c r="L271" s="10"/>
      <c r="M271" s="12"/>
      <c r="N271" s="12"/>
      <c r="O271" s="11"/>
      <c r="P271" s="12"/>
      <c r="Q271" s="11"/>
      <c r="R271" s="13" t="str">
        <f aca="false">IF(Q271="","",ROUND(Q271*IFERROR(INDEX(Settings!$B$2:$B$4,MATCH(K271,Settings!$A$2:$A$4,0)),0)+IFERROR(INDEX(Settings!$C$2:$C$4,MATCH(K271,Settings!$A$2:$A$4,0)),0),2))</f>
        <v/>
      </c>
      <c r="S271" s="13" t="str">
        <f aca="false">IF(Q271="","",Q271-R271-N(I271))</f>
        <v/>
      </c>
      <c r="T271" s="14" t="str">
        <f aca="true">IF(N271="","",IF(P271&lt;&gt;"",P271-N271,TODAY()-N271))</f>
        <v/>
      </c>
      <c r="U271" s="10"/>
      <c r="V271" s="14" t="str">
        <f aca="true">IF(AND(L271="Listed",N271&lt;&gt;"",P271=""),IF(TODAY()-N271&gt;=Settings!$B$6,"STALE",""),"")</f>
        <v/>
      </c>
    </row>
    <row r="272" customFormat="false" ht="15" hidden="false" customHeight="false" outlineLevel="0" collapsed="false">
      <c r="A272" s="10"/>
      <c r="B272" s="10"/>
      <c r="C272" s="10"/>
      <c r="D272" s="10"/>
      <c r="E272" s="10"/>
      <c r="F272" s="10"/>
      <c r="G272" s="10"/>
      <c r="H272" s="10"/>
      <c r="I272" s="11"/>
      <c r="J272" s="10"/>
      <c r="K272" s="10"/>
      <c r="L272" s="10"/>
      <c r="M272" s="12"/>
      <c r="N272" s="12"/>
      <c r="O272" s="11"/>
      <c r="P272" s="12"/>
      <c r="Q272" s="11"/>
      <c r="R272" s="13" t="str">
        <f aca="false">IF(Q272="","",ROUND(Q272*IFERROR(INDEX(Settings!$B$2:$B$4,MATCH(K272,Settings!$A$2:$A$4,0)),0)+IFERROR(INDEX(Settings!$C$2:$C$4,MATCH(K272,Settings!$A$2:$A$4,0)),0),2))</f>
        <v/>
      </c>
      <c r="S272" s="13" t="str">
        <f aca="false">IF(Q272="","",Q272-R272-N(I272))</f>
        <v/>
      </c>
      <c r="T272" s="14" t="str">
        <f aca="true">IF(N272="","",IF(P272&lt;&gt;"",P272-N272,TODAY()-N272))</f>
        <v/>
      </c>
      <c r="U272" s="10"/>
      <c r="V272" s="14" t="str">
        <f aca="true">IF(AND(L272="Listed",N272&lt;&gt;"",P272=""),IF(TODAY()-N272&gt;=Settings!$B$6,"STALE",""),"")</f>
        <v/>
      </c>
    </row>
    <row r="273" customFormat="false" ht="15" hidden="false" customHeight="false" outlineLevel="0" collapsed="false">
      <c r="A273" s="10"/>
      <c r="B273" s="10"/>
      <c r="C273" s="10"/>
      <c r="D273" s="10"/>
      <c r="E273" s="10"/>
      <c r="F273" s="10"/>
      <c r="G273" s="10"/>
      <c r="H273" s="10"/>
      <c r="I273" s="11"/>
      <c r="J273" s="10"/>
      <c r="K273" s="10"/>
      <c r="L273" s="10"/>
      <c r="M273" s="12"/>
      <c r="N273" s="12"/>
      <c r="O273" s="11"/>
      <c r="P273" s="12"/>
      <c r="Q273" s="11"/>
      <c r="R273" s="13" t="str">
        <f aca="false">IF(Q273="","",ROUND(Q273*IFERROR(INDEX(Settings!$B$2:$B$4,MATCH(K273,Settings!$A$2:$A$4,0)),0)+IFERROR(INDEX(Settings!$C$2:$C$4,MATCH(K273,Settings!$A$2:$A$4,0)),0),2))</f>
        <v/>
      </c>
      <c r="S273" s="13" t="str">
        <f aca="false">IF(Q273="","",Q273-R273-N(I273))</f>
        <v/>
      </c>
      <c r="T273" s="14" t="str">
        <f aca="true">IF(N273="","",IF(P273&lt;&gt;"",P273-N273,TODAY()-N273))</f>
        <v/>
      </c>
      <c r="U273" s="10"/>
      <c r="V273" s="14" t="str">
        <f aca="true">IF(AND(L273="Listed",N273&lt;&gt;"",P273=""),IF(TODAY()-N273&gt;=Settings!$B$6,"STALE",""),"")</f>
        <v/>
      </c>
    </row>
    <row r="274" customFormat="false" ht="15" hidden="false" customHeight="false" outlineLevel="0" collapsed="false">
      <c r="A274" s="10"/>
      <c r="B274" s="10"/>
      <c r="C274" s="10"/>
      <c r="D274" s="10"/>
      <c r="E274" s="10"/>
      <c r="F274" s="10"/>
      <c r="G274" s="10"/>
      <c r="H274" s="10"/>
      <c r="I274" s="11"/>
      <c r="J274" s="10"/>
      <c r="K274" s="10"/>
      <c r="L274" s="10"/>
      <c r="M274" s="12"/>
      <c r="N274" s="12"/>
      <c r="O274" s="11"/>
      <c r="P274" s="12"/>
      <c r="Q274" s="11"/>
      <c r="R274" s="13" t="str">
        <f aca="false">IF(Q274="","",ROUND(Q274*IFERROR(INDEX(Settings!$B$2:$B$4,MATCH(K274,Settings!$A$2:$A$4,0)),0)+IFERROR(INDEX(Settings!$C$2:$C$4,MATCH(K274,Settings!$A$2:$A$4,0)),0),2))</f>
        <v/>
      </c>
      <c r="S274" s="13" t="str">
        <f aca="false">IF(Q274="","",Q274-R274-N(I274))</f>
        <v/>
      </c>
      <c r="T274" s="14" t="str">
        <f aca="true">IF(N274="","",IF(P274&lt;&gt;"",P274-N274,TODAY()-N274))</f>
        <v/>
      </c>
      <c r="U274" s="10"/>
      <c r="V274" s="14" t="str">
        <f aca="true">IF(AND(L274="Listed",N274&lt;&gt;"",P274=""),IF(TODAY()-N274&gt;=Settings!$B$6,"STALE",""),"")</f>
        <v/>
      </c>
    </row>
    <row r="275" customFormat="false" ht="15" hidden="false" customHeight="false" outlineLevel="0" collapsed="false">
      <c r="A275" s="10"/>
      <c r="B275" s="10"/>
      <c r="C275" s="10"/>
      <c r="D275" s="10"/>
      <c r="E275" s="10"/>
      <c r="F275" s="10"/>
      <c r="G275" s="10"/>
      <c r="H275" s="10"/>
      <c r="I275" s="11"/>
      <c r="J275" s="10"/>
      <c r="K275" s="10"/>
      <c r="L275" s="10"/>
      <c r="M275" s="12"/>
      <c r="N275" s="12"/>
      <c r="O275" s="11"/>
      <c r="P275" s="12"/>
      <c r="Q275" s="11"/>
      <c r="R275" s="13" t="str">
        <f aca="false">IF(Q275="","",ROUND(Q275*IFERROR(INDEX(Settings!$B$2:$B$4,MATCH(K275,Settings!$A$2:$A$4,0)),0)+IFERROR(INDEX(Settings!$C$2:$C$4,MATCH(K275,Settings!$A$2:$A$4,0)),0),2))</f>
        <v/>
      </c>
      <c r="S275" s="13" t="str">
        <f aca="false">IF(Q275="","",Q275-R275-N(I275))</f>
        <v/>
      </c>
      <c r="T275" s="14" t="str">
        <f aca="true">IF(N275="","",IF(P275&lt;&gt;"",P275-N275,TODAY()-N275))</f>
        <v/>
      </c>
      <c r="U275" s="10"/>
      <c r="V275" s="14" t="str">
        <f aca="true">IF(AND(L275="Listed",N275&lt;&gt;"",P275=""),IF(TODAY()-N275&gt;=Settings!$B$6,"STALE",""),"")</f>
        <v/>
      </c>
    </row>
    <row r="276" customFormat="false" ht="15" hidden="false" customHeight="false" outlineLevel="0" collapsed="false">
      <c r="A276" s="10"/>
      <c r="B276" s="10"/>
      <c r="C276" s="10"/>
      <c r="D276" s="10"/>
      <c r="E276" s="10"/>
      <c r="F276" s="10"/>
      <c r="G276" s="10"/>
      <c r="H276" s="10"/>
      <c r="I276" s="11"/>
      <c r="J276" s="10"/>
      <c r="K276" s="10"/>
      <c r="L276" s="10"/>
      <c r="M276" s="12"/>
      <c r="N276" s="12"/>
      <c r="O276" s="11"/>
      <c r="P276" s="12"/>
      <c r="Q276" s="11"/>
      <c r="R276" s="13" t="str">
        <f aca="false">IF(Q276="","",ROUND(Q276*IFERROR(INDEX(Settings!$B$2:$B$4,MATCH(K276,Settings!$A$2:$A$4,0)),0)+IFERROR(INDEX(Settings!$C$2:$C$4,MATCH(K276,Settings!$A$2:$A$4,0)),0),2))</f>
        <v/>
      </c>
      <c r="S276" s="13" t="str">
        <f aca="false">IF(Q276="","",Q276-R276-N(I276))</f>
        <v/>
      </c>
      <c r="T276" s="14" t="str">
        <f aca="true">IF(N276="","",IF(P276&lt;&gt;"",P276-N276,TODAY()-N276))</f>
        <v/>
      </c>
      <c r="U276" s="10"/>
      <c r="V276" s="14" t="str">
        <f aca="true">IF(AND(L276="Listed",N276&lt;&gt;"",P276=""),IF(TODAY()-N276&gt;=Settings!$B$6,"STALE",""),"")</f>
        <v/>
      </c>
    </row>
    <row r="277" customFormat="false" ht="15" hidden="false" customHeight="false" outlineLevel="0" collapsed="false">
      <c r="A277" s="10"/>
      <c r="B277" s="10"/>
      <c r="C277" s="10"/>
      <c r="D277" s="10"/>
      <c r="E277" s="10"/>
      <c r="F277" s="10"/>
      <c r="G277" s="10"/>
      <c r="H277" s="10"/>
      <c r="I277" s="11"/>
      <c r="J277" s="10"/>
      <c r="K277" s="10"/>
      <c r="L277" s="10"/>
      <c r="M277" s="12"/>
      <c r="N277" s="12"/>
      <c r="O277" s="11"/>
      <c r="P277" s="12"/>
      <c r="Q277" s="11"/>
      <c r="R277" s="13" t="str">
        <f aca="false">IF(Q277="","",ROUND(Q277*IFERROR(INDEX(Settings!$B$2:$B$4,MATCH(K277,Settings!$A$2:$A$4,0)),0)+IFERROR(INDEX(Settings!$C$2:$C$4,MATCH(K277,Settings!$A$2:$A$4,0)),0),2))</f>
        <v/>
      </c>
      <c r="S277" s="13" t="str">
        <f aca="false">IF(Q277="","",Q277-R277-N(I277))</f>
        <v/>
      </c>
      <c r="T277" s="14" t="str">
        <f aca="true">IF(N277="","",IF(P277&lt;&gt;"",P277-N277,TODAY()-N277))</f>
        <v/>
      </c>
      <c r="U277" s="10"/>
      <c r="V277" s="14" t="str">
        <f aca="true">IF(AND(L277="Listed",N277&lt;&gt;"",P277=""),IF(TODAY()-N277&gt;=Settings!$B$6,"STALE",""),"")</f>
        <v/>
      </c>
    </row>
    <row r="278" customFormat="false" ht="15" hidden="false" customHeight="false" outlineLevel="0" collapsed="false">
      <c r="A278" s="10"/>
      <c r="B278" s="10"/>
      <c r="C278" s="10"/>
      <c r="D278" s="10"/>
      <c r="E278" s="10"/>
      <c r="F278" s="10"/>
      <c r="G278" s="10"/>
      <c r="H278" s="10"/>
      <c r="I278" s="11"/>
      <c r="J278" s="10"/>
      <c r="K278" s="10"/>
      <c r="L278" s="10"/>
      <c r="M278" s="12"/>
      <c r="N278" s="12"/>
      <c r="O278" s="11"/>
      <c r="P278" s="12"/>
      <c r="Q278" s="11"/>
      <c r="R278" s="13" t="str">
        <f aca="false">IF(Q278="","",ROUND(Q278*IFERROR(INDEX(Settings!$B$2:$B$4,MATCH(K278,Settings!$A$2:$A$4,0)),0)+IFERROR(INDEX(Settings!$C$2:$C$4,MATCH(K278,Settings!$A$2:$A$4,0)),0),2))</f>
        <v/>
      </c>
      <c r="S278" s="13" t="str">
        <f aca="false">IF(Q278="","",Q278-R278-N(I278))</f>
        <v/>
      </c>
      <c r="T278" s="14" t="str">
        <f aca="true">IF(N278="","",IF(P278&lt;&gt;"",P278-N278,TODAY()-N278))</f>
        <v/>
      </c>
      <c r="U278" s="10"/>
      <c r="V278" s="14" t="str">
        <f aca="true">IF(AND(L278="Listed",N278&lt;&gt;"",P278=""),IF(TODAY()-N278&gt;=Settings!$B$6,"STALE",""),"")</f>
        <v/>
      </c>
    </row>
    <row r="279" customFormat="false" ht="15" hidden="false" customHeight="false" outlineLevel="0" collapsed="false">
      <c r="A279" s="10"/>
      <c r="B279" s="10"/>
      <c r="C279" s="10"/>
      <c r="D279" s="10"/>
      <c r="E279" s="10"/>
      <c r="F279" s="10"/>
      <c r="G279" s="10"/>
      <c r="H279" s="10"/>
      <c r="I279" s="11"/>
      <c r="J279" s="10"/>
      <c r="K279" s="10"/>
      <c r="L279" s="10"/>
      <c r="M279" s="12"/>
      <c r="N279" s="12"/>
      <c r="O279" s="11"/>
      <c r="P279" s="12"/>
      <c r="Q279" s="11"/>
      <c r="R279" s="13" t="str">
        <f aca="false">IF(Q279="","",ROUND(Q279*IFERROR(INDEX(Settings!$B$2:$B$4,MATCH(K279,Settings!$A$2:$A$4,0)),0)+IFERROR(INDEX(Settings!$C$2:$C$4,MATCH(K279,Settings!$A$2:$A$4,0)),0),2))</f>
        <v/>
      </c>
      <c r="S279" s="13" t="str">
        <f aca="false">IF(Q279="","",Q279-R279-N(I279))</f>
        <v/>
      </c>
      <c r="T279" s="14" t="str">
        <f aca="true">IF(N279="","",IF(P279&lt;&gt;"",P279-N279,TODAY()-N279))</f>
        <v/>
      </c>
      <c r="U279" s="10"/>
      <c r="V279" s="14" t="str">
        <f aca="true">IF(AND(L279="Listed",N279&lt;&gt;"",P279=""),IF(TODAY()-N279&gt;=Settings!$B$6,"STALE",""),"")</f>
        <v/>
      </c>
    </row>
    <row r="280" customFormat="false" ht="15" hidden="false" customHeight="false" outlineLevel="0" collapsed="false">
      <c r="A280" s="10"/>
      <c r="B280" s="10"/>
      <c r="C280" s="10"/>
      <c r="D280" s="10"/>
      <c r="E280" s="10"/>
      <c r="F280" s="10"/>
      <c r="G280" s="10"/>
      <c r="H280" s="10"/>
      <c r="I280" s="11"/>
      <c r="J280" s="10"/>
      <c r="K280" s="10"/>
      <c r="L280" s="10"/>
      <c r="M280" s="12"/>
      <c r="N280" s="12"/>
      <c r="O280" s="11"/>
      <c r="P280" s="12"/>
      <c r="Q280" s="11"/>
      <c r="R280" s="13" t="str">
        <f aca="false">IF(Q280="","",ROUND(Q280*IFERROR(INDEX(Settings!$B$2:$B$4,MATCH(K280,Settings!$A$2:$A$4,0)),0)+IFERROR(INDEX(Settings!$C$2:$C$4,MATCH(K280,Settings!$A$2:$A$4,0)),0),2))</f>
        <v/>
      </c>
      <c r="S280" s="13" t="str">
        <f aca="false">IF(Q280="","",Q280-R280-N(I280))</f>
        <v/>
      </c>
      <c r="T280" s="14" t="str">
        <f aca="true">IF(N280="","",IF(P280&lt;&gt;"",P280-N280,TODAY()-N280))</f>
        <v/>
      </c>
      <c r="U280" s="10"/>
      <c r="V280" s="14" t="str">
        <f aca="true">IF(AND(L280="Listed",N280&lt;&gt;"",P280=""),IF(TODAY()-N280&gt;=Settings!$B$6,"STALE",""),"")</f>
        <v/>
      </c>
    </row>
    <row r="281" customFormat="false" ht="15" hidden="false" customHeight="false" outlineLevel="0" collapsed="false">
      <c r="A281" s="10"/>
      <c r="B281" s="10"/>
      <c r="C281" s="10"/>
      <c r="D281" s="10"/>
      <c r="E281" s="10"/>
      <c r="F281" s="10"/>
      <c r="G281" s="10"/>
      <c r="H281" s="10"/>
      <c r="I281" s="11"/>
      <c r="J281" s="10"/>
      <c r="K281" s="10"/>
      <c r="L281" s="10"/>
      <c r="M281" s="12"/>
      <c r="N281" s="12"/>
      <c r="O281" s="11"/>
      <c r="P281" s="12"/>
      <c r="Q281" s="11"/>
      <c r="R281" s="13" t="str">
        <f aca="false">IF(Q281="","",ROUND(Q281*IFERROR(INDEX(Settings!$B$2:$B$4,MATCH(K281,Settings!$A$2:$A$4,0)),0)+IFERROR(INDEX(Settings!$C$2:$C$4,MATCH(K281,Settings!$A$2:$A$4,0)),0),2))</f>
        <v/>
      </c>
      <c r="S281" s="13" t="str">
        <f aca="false">IF(Q281="","",Q281-R281-N(I281))</f>
        <v/>
      </c>
      <c r="T281" s="14" t="str">
        <f aca="true">IF(N281="","",IF(P281&lt;&gt;"",P281-N281,TODAY()-N281))</f>
        <v/>
      </c>
      <c r="U281" s="10"/>
      <c r="V281" s="14" t="str">
        <f aca="true">IF(AND(L281="Listed",N281&lt;&gt;"",P281=""),IF(TODAY()-N281&gt;=Settings!$B$6,"STALE",""),"")</f>
        <v/>
      </c>
    </row>
    <row r="282" customFormat="false" ht="15" hidden="false" customHeight="false" outlineLevel="0" collapsed="false">
      <c r="A282" s="10"/>
      <c r="B282" s="10"/>
      <c r="C282" s="10"/>
      <c r="D282" s="10"/>
      <c r="E282" s="10"/>
      <c r="F282" s="10"/>
      <c r="G282" s="10"/>
      <c r="H282" s="10"/>
      <c r="I282" s="11"/>
      <c r="J282" s="10"/>
      <c r="K282" s="10"/>
      <c r="L282" s="10"/>
      <c r="M282" s="12"/>
      <c r="N282" s="12"/>
      <c r="O282" s="11"/>
      <c r="P282" s="12"/>
      <c r="Q282" s="11"/>
      <c r="R282" s="13" t="str">
        <f aca="false">IF(Q282="","",ROUND(Q282*IFERROR(INDEX(Settings!$B$2:$B$4,MATCH(K282,Settings!$A$2:$A$4,0)),0)+IFERROR(INDEX(Settings!$C$2:$C$4,MATCH(K282,Settings!$A$2:$A$4,0)),0),2))</f>
        <v/>
      </c>
      <c r="S282" s="13" t="str">
        <f aca="false">IF(Q282="","",Q282-R282-N(I282))</f>
        <v/>
      </c>
      <c r="T282" s="14" t="str">
        <f aca="true">IF(N282="","",IF(P282&lt;&gt;"",P282-N282,TODAY()-N282))</f>
        <v/>
      </c>
      <c r="U282" s="10"/>
      <c r="V282" s="14" t="str">
        <f aca="true">IF(AND(L282="Listed",N282&lt;&gt;"",P282=""),IF(TODAY()-N282&gt;=Settings!$B$6,"STALE",""),"")</f>
        <v/>
      </c>
    </row>
    <row r="283" customFormat="false" ht="15" hidden="false" customHeight="false" outlineLevel="0" collapsed="false">
      <c r="A283" s="10"/>
      <c r="B283" s="10"/>
      <c r="C283" s="10"/>
      <c r="D283" s="10"/>
      <c r="E283" s="10"/>
      <c r="F283" s="10"/>
      <c r="G283" s="10"/>
      <c r="H283" s="10"/>
      <c r="I283" s="11"/>
      <c r="J283" s="10"/>
      <c r="K283" s="10"/>
      <c r="L283" s="10"/>
      <c r="M283" s="12"/>
      <c r="N283" s="12"/>
      <c r="O283" s="11"/>
      <c r="P283" s="12"/>
      <c r="Q283" s="11"/>
      <c r="R283" s="13" t="str">
        <f aca="false">IF(Q283="","",ROUND(Q283*IFERROR(INDEX(Settings!$B$2:$B$4,MATCH(K283,Settings!$A$2:$A$4,0)),0)+IFERROR(INDEX(Settings!$C$2:$C$4,MATCH(K283,Settings!$A$2:$A$4,0)),0),2))</f>
        <v/>
      </c>
      <c r="S283" s="13" t="str">
        <f aca="false">IF(Q283="","",Q283-R283-N(I283))</f>
        <v/>
      </c>
      <c r="T283" s="14" t="str">
        <f aca="true">IF(N283="","",IF(P283&lt;&gt;"",P283-N283,TODAY()-N283))</f>
        <v/>
      </c>
      <c r="U283" s="10"/>
      <c r="V283" s="14" t="str">
        <f aca="true">IF(AND(L283="Listed",N283&lt;&gt;"",P283=""),IF(TODAY()-N283&gt;=Settings!$B$6,"STALE",""),"")</f>
        <v/>
      </c>
    </row>
    <row r="284" customFormat="false" ht="15" hidden="false" customHeight="false" outlineLevel="0" collapsed="false">
      <c r="A284" s="10"/>
      <c r="B284" s="10"/>
      <c r="C284" s="10"/>
      <c r="D284" s="10"/>
      <c r="E284" s="10"/>
      <c r="F284" s="10"/>
      <c r="G284" s="10"/>
      <c r="H284" s="10"/>
      <c r="I284" s="11"/>
      <c r="J284" s="10"/>
      <c r="K284" s="10"/>
      <c r="L284" s="10"/>
      <c r="M284" s="12"/>
      <c r="N284" s="12"/>
      <c r="O284" s="11"/>
      <c r="P284" s="12"/>
      <c r="Q284" s="11"/>
      <c r="R284" s="13" t="str">
        <f aca="false">IF(Q284="","",ROUND(Q284*IFERROR(INDEX(Settings!$B$2:$B$4,MATCH(K284,Settings!$A$2:$A$4,0)),0)+IFERROR(INDEX(Settings!$C$2:$C$4,MATCH(K284,Settings!$A$2:$A$4,0)),0),2))</f>
        <v/>
      </c>
      <c r="S284" s="13" t="str">
        <f aca="false">IF(Q284="","",Q284-R284-N(I284))</f>
        <v/>
      </c>
      <c r="T284" s="14" t="str">
        <f aca="true">IF(N284="","",IF(P284&lt;&gt;"",P284-N284,TODAY()-N284))</f>
        <v/>
      </c>
      <c r="U284" s="10"/>
      <c r="V284" s="14" t="str">
        <f aca="true">IF(AND(L284="Listed",N284&lt;&gt;"",P284=""),IF(TODAY()-N284&gt;=Settings!$B$6,"STALE",""),"")</f>
        <v/>
      </c>
    </row>
    <row r="285" customFormat="false" ht="15" hidden="false" customHeight="false" outlineLevel="0" collapsed="false">
      <c r="A285" s="10"/>
      <c r="B285" s="10"/>
      <c r="C285" s="10"/>
      <c r="D285" s="10"/>
      <c r="E285" s="10"/>
      <c r="F285" s="10"/>
      <c r="G285" s="10"/>
      <c r="H285" s="10"/>
      <c r="I285" s="11"/>
      <c r="J285" s="10"/>
      <c r="K285" s="10"/>
      <c r="L285" s="10"/>
      <c r="M285" s="12"/>
      <c r="N285" s="12"/>
      <c r="O285" s="11"/>
      <c r="P285" s="12"/>
      <c r="Q285" s="11"/>
      <c r="R285" s="13" t="str">
        <f aca="false">IF(Q285="","",ROUND(Q285*IFERROR(INDEX(Settings!$B$2:$B$4,MATCH(K285,Settings!$A$2:$A$4,0)),0)+IFERROR(INDEX(Settings!$C$2:$C$4,MATCH(K285,Settings!$A$2:$A$4,0)),0),2))</f>
        <v/>
      </c>
      <c r="S285" s="13" t="str">
        <f aca="false">IF(Q285="","",Q285-R285-N(I285))</f>
        <v/>
      </c>
      <c r="T285" s="14" t="str">
        <f aca="true">IF(N285="","",IF(P285&lt;&gt;"",P285-N285,TODAY()-N285))</f>
        <v/>
      </c>
      <c r="U285" s="10"/>
      <c r="V285" s="14" t="str">
        <f aca="true">IF(AND(L285="Listed",N285&lt;&gt;"",P285=""),IF(TODAY()-N285&gt;=Settings!$B$6,"STALE",""),"")</f>
        <v/>
      </c>
    </row>
    <row r="286" customFormat="false" ht="15" hidden="false" customHeight="false" outlineLevel="0" collapsed="false">
      <c r="A286" s="10"/>
      <c r="B286" s="10"/>
      <c r="C286" s="10"/>
      <c r="D286" s="10"/>
      <c r="E286" s="10"/>
      <c r="F286" s="10"/>
      <c r="G286" s="10"/>
      <c r="H286" s="10"/>
      <c r="I286" s="11"/>
      <c r="J286" s="10"/>
      <c r="K286" s="10"/>
      <c r="L286" s="10"/>
      <c r="M286" s="12"/>
      <c r="N286" s="12"/>
      <c r="O286" s="11"/>
      <c r="P286" s="12"/>
      <c r="Q286" s="11"/>
      <c r="R286" s="13" t="str">
        <f aca="false">IF(Q286="","",ROUND(Q286*IFERROR(INDEX(Settings!$B$2:$B$4,MATCH(K286,Settings!$A$2:$A$4,0)),0)+IFERROR(INDEX(Settings!$C$2:$C$4,MATCH(K286,Settings!$A$2:$A$4,0)),0),2))</f>
        <v/>
      </c>
      <c r="S286" s="13" t="str">
        <f aca="false">IF(Q286="","",Q286-R286-N(I286))</f>
        <v/>
      </c>
      <c r="T286" s="14" t="str">
        <f aca="true">IF(N286="","",IF(P286&lt;&gt;"",P286-N286,TODAY()-N286))</f>
        <v/>
      </c>
      <c r="U286" s="10"/>
      <c r="V286" s="14" t="str">
        <f aca="true">IF(AND(L286="Listed",N286&lt;&gt;"",P286=""),IF(TODAY()-N286&gt;=Settings!$B$6,"STALE",""),"")</f>
        <v/>
      </c>
    </row>
    <row r="287" customFormat="false" ht="15" hidden="false" customHeight="false" outlineLevel="0" collapsed="false">
      <c r="A287" s="10"/>
      <c r="B287" s="10"/>
      <c r="C287" s="10"/>
      <c r="D287" s="10"/>
      <c r="E287" s="10"/>
      <c r="F287" s="10"/>
      <c r="G287" s="10"/>
      <c r="H287" s="10"/>
      <c r="I287" s="11"/>
      <c r="J287" s="10"/>
      <c r="K287" s="10"/>
      <c r="L287" s="10"/>
      <c r="M287" s="12"/>
      <c r="N287" s="12"/>
      <c r="O287" s="11"/>
      <c r="P287" s="12"/>
      <c r="Q287" s="11"/>
      <c r="R287" s="13" t="str">
        <f aca="false">IF(Q287="","",ROUND(Q287*IFERROR(INDEX(Settings!$B$2:$B$4,MATCH(K287,Settings!$A$2:$A$4,0)),0)+IFERROR(INDEX(Settings!$C$2:$C$4,MATCH(K287,Settings!$A$2:$A$4,0)),0),2))</f>
        <v/>
      </c>
      <c r="S287" s="13" t="str">
        <f aca="false">IF(Q287="","",Q287-R287-N(I287))</f>
        <v/>
      </c>
      <c r="T287" s="14" t="str">
        <f aca="true">IF(N287="","",IF(P287&lt;&gt;"",P287-N287,TODAY()-N287))</f>
        <v/>
      </c>
      <c r="U287" s="10"/>
      <c r="V287" s="14" t="str">
        <f aca="true">IF(AND(L287="Listed",N287&lt;&gt;"",P287=""),IF(TODAY()-N287&gt;=Settings!$B$6,"STALE",""),"")</f>
        <v/>
      </c>
    </row>
    <row r="288" customFormat="false" ht="15" hidden="false" customHeight="false" outlineLevel="0" collapsed="false">
      <c r="A288" s="10"/>
      <c r="B288" s="10"/>
      <c r="C288" s="10"/>
      <c r="D288" s="10"/>
      <c r="E288" s="10"/>
      <c r="F288" s="10"/>
      <c r="G288" s="10"/>
      <c r="H288" s="10"/>
      <c r="I288" s="11"/>
      <c r="J288" s="10"/>
      <c r="K288" s="10"/>
      <c r="L288" s="10"/>
      <c r="M288" s="12"/>
      <c r="N288" s="12"/>
      <c r="O288" s="11"/>
      <c r="P288" s="12"/>
      <c r="Q288" s="11"/>
      <c r="R288" s="13" t="str">
        <f aca="false">IF(Q288="","",ROUND(Q288*IFERROR(INDEX(Settings!$B$2:$B$4,MATCH(K288,Settings!$A$2:$A$4,0)),0)+IFERROR(INDEX(Settings!$C$2:$C$4,MATCH(K288,Settings!$A$2:$A$4,0)),0),2))</f>
        <v/>
      </c>
      <c r="S288" s="13" t="str">
        <f aca="false">IF(Q288="","",Q288-R288-N(I288))</f>
        <v/>
      </c>
      <c r="T288" s="14" t="str">
        <f aca="true">IF(N288="","",IF(P288&lt;&gt;"",P288-N288,TODAY()-N288))</f>
        <v/>
      </c>
      <c r="U288" s="10"/>
      <c r="V288" s="14" t="str">
        <f aca="true">IF(AND(L288="Listed",N288&lt;&gt;"",P288=""),IF(TODAY()-N288&gt;=Settings!$B$6,"STALE",""),"")</f>
        <v/>
      </c>
    </row>
    <row r="289" customFormat="false" ht="15" hidden="false" customHeight="false" outlineLevel="0" collapsed="false">
      <c r="A289" s="10"/>
      <c r="B289" s="10"/>
      <c r="C289" s="10"/>
      <c r="D289" s="10"/>
      <c r="E289" s="10"/>
      <c r="F289" s="10"/>
      <c r="G289" s="10"/>
      <c r="H289" s="10"/>
      <c r="I289" s="11"/>
      <c r="J289" s="10"/>
      <c r="K289" s="10"/>
      <c r="L289" s="10"/>
      <c r="M289" s="12"/>
      <c r="N289" s="12"/>
      <c r="O289" s="11"/>
      <c r="P289" s="12"/>
      <c r="Q289" s="11"/>
      <c r="R289" s="13" t="str">
        <f aca="false">IF(Q289="","",ROUND(Q289*IFERROR(INDEX(Settings!$B$2:$B$4,MATCH(K289,Settings!$A$2:$A$4,0)),0)+IFERROR(INDEX(Settings!$C$2:$C$4,MATCH(K289,Settings!$A$2:$A$4,0)),0),2))</f>
        <v/>
      </c>
      <c r="S289" s="13" t="str">
        <f aca="false">IF(Q289="","",Q289-R289-N(I289))</f>
        <v/>
      </c>
      <c r="T289" s="14" t="str">
        <f aca="true">IF(N289="","",IF(P289&lt;&gt;"",P289-N289,TODAY()-N289))</f>
        <v/>
      </c>
      <c r="U289" s="10"/>
      <c r="V289" s="14" t="str">
        <f aca="true">IF(AND(L289="Listed",N289&lt;&gt;"",P289=""),IF(TODAY()-N289&gt;=Settings!$B$6,"STALE",""),"")</f>
        <v/>
      </c>
    </row>
    <row r="290" customFormat="false" ht="15" hidden="false" customHeight="false" outlineLevel="0" collapsed="false">
      <c r="A290" s="10"/>
      <c r="B290" s="10"/>
      <c r="C290" s="10"/>
      <c r="D290" s="10"/>
      <c r="E290" s="10"/>
      <c r="F290" s="10"/>
      <c r="G290" s="10"/>
      <c r="H290" s="10"/>
      <c r="I290" s="11"/>
      <c r="J290" s="10"/>
      <c r="K290" s="10"/>
      <c r="L290" s="10"/>
      <c r="M290" s="12"/>
      <c r="N290" s="12"/>
      <c r="O290" s="11"/>
      <c r="P290" s="12"/>
      <c r="Q290" s="11"/>
      <c r="R290" s="13" t="str">
        <f aca="false">IF(Q290="","",ROUND(Q290*IFERROR(INDEX(Settings!$B$2:$B$4,MATCH(K290,Settings!$A$2:$A$4,0)),0)+IFERROR(INDEX(Settings!$C$2:$C$4,MATCH(K290,Settings!$A$2:$A$4,0)),0),2))</f>
        <v/>
      </c>
      <c r="S290" s="13" t="str">
        <f aca="false">IF(Q290="","",Q290-R290-N(I290))</f>
        <v/>
      </c>
      <c r="T290" s="14" t="str">
        <f aca="true">IF(N290="","",IF(P290&lt;&gt;"",P290-N290,TODAY()-N290))</f>
        <v/>
      </c>
      <c r="U290" s="10"/>
      <c r="V290" s="14" t="str">
        <f aca="true">IF(AND(L290="Listed",N290&lt;&gt;"",P290=""),IF(TODAY()-N290&gt;=Settings!$B$6,"STALE",""),"")</f>
        <v/>
      </c>
    </row>
    <row r="291" customFormat="false" ht="15" hidden="false" customHeight="false" outlineLevel="0" collapsed="false">
      <c r="A291" s="10"/>
      <c r="B291" s="10"/>
      <c r="C291" s="10"/>
      <c r="D291" s="10"/>
      <c r="E291" s="10"/>
      <c r="F291" s="10"/>
      <c r="G291" s="10"/>
      <c r="H291" s="10"/>
      <c r="I291" s="11"/>
      <c r="J291" s="10"/>
      <c r="K291" s="10"/>
      <c r="L291" s="10"/>
      <c r="M291" s="12"/>
      <c r="N291" s="12"/>
      <c r="O291" s="11"/>
      <c r="P291" s="12"/>
      <c r="Q291" s="11"/>
      <c r="R291" s="13" t="str">
        <f aca="false">IF(Q291="","",ROUND(Q291*IFERROR(INDEX(Settings!$B$2:$B$4,MATCH(K291,Settings!$A$2:$A$4,0)),0)+IFERROR(INDEX(Settings!$C$2:$C$4,MATCH(K291,Settings!$A$2:$A$4,0)),0),2))</f>
        <v/>
      </c>
      <c r="S291" s="13" t="str">
        <f aca="false">IF(Q291="","",Q291-R291-N(I291))</f>
        <v/>
      </c>
      <c r="T291" s="14" t="str">
        <f aca="true">IF(N291="","",IF(P291&lt;&gt;"",P291-N291,TODAY()-N291))</f>
        <v/>
      </c>
      <c r="U291" s="10"/>
      <c r="V291" s="14" t="str">
        <f aca="true">IF(AND(L291="Listed",N291&lt;&gt;"",P291=""),IF(TODAY()-N291&gt;=Settings!$B$6,"STALE",""),"")</f>
        <v/>
      </c>
    </row>
    <row r="292" customFormat="false" ht="15" hidden="false" customHeight="false" outlineLevel="0" collapsed="false">
      <c r="A292" s="10"/>
      <c r="B292" s="10"/>
      <c r="C292" s="10"/>
      <c r="D292" s="10"/>
      <c r="E292" s="10"/>
      <c r="F292" s="10"/>
      <c r="G292" s="10"/>
      <c r="H292" s="10"/>
      <c r="I292" s="11"/>
      <c r="J292" s="10"/>
      <c r="K292" s="10"/>
      <c r="L292" s="10"/>
      <c r="M292" s="12"/>
      <c r="N292" s="12"/>
      <c r="O292" s="11"/>
      <c r="P292" s="12"/>
      <c r="Q292" s="11"/>
      <c r="R292" s="13" t="str">
        <f aca="false">IF(Q292="","",ROUND(Q292*IFERROR(INDEX(Settings!$B$2:$B$4,MATCH(K292,Settings!$A$2:$A$4,0)),0)+IFERROR(INDEX(Settings!$C$2:$C$4,MATCH(K292,Settings!$A$2:$A$4,0)),0),2))</f>
        <v/>
      </c>
      <c r="S292" s="13" t="str">
        <f aca="false">IF(Q292="","",Q292-R292-N(I292))</f>
        <v/>
      </c>
      <c r="T292" s="14" t="str">
        <f aca="true">IF(N292="","",IF(P292&lt;&gt;"",P292-N292,TODAY()-N292))</f>
        <v/>
      </c>
      <c r="U292" s="10"/>
      <c r="V292" s="14" t="str">
        <f aca="true">IF(AND(L292="Listed",N292&lt;&gt;"",P292=""),IF(TODAY()-N292&gt;=Settings!$B$6,"STALE",""),"")</f>
        <v/>
      </c>
    </row>
    <row r="293" customFormat="false" ht="15" hidden="false" customHeight="false" outlineLevel="0" collapsed="false">
      <c r="A293" s="10"/>
      <c r="B293" s="10"/>
      <c r="C293" s="10"/>
      <c r="D293" s="10"/>
      <c r="E293" s="10"/>
      <c r="F293" s="10"/>
      <c r="G293" s="10"/>
      <c r="H293" s="10"/>
      <c r="I293" s="11"/>
      <c r="J293" s="10"/>
      <c r="K293" s="10"/>
      <c r="L293" s="10"/>
      <c r="M293" s="12"/>
      <c r="N293" s="12"/>
      <c r="O293" s="11"/>
      <c r="P293" s="12"/>
      <c r="Q293" s="11"/>
      <c r="R293" s="13" t="str">
        <f aca="false">IF(Q293="","",ROUND(Q293*IFERROR(INDEX(Settings!$B$2:$B$4,MATCH(K293,Settings!$A$2:$A$4,0)),0)+IFERROR(INDEX(Settings!$C$2:$C$4,MATCH(K293,Settings!$A$2:$A$4,0)),0),2))</f>
        <v/>
      </c>
      <c r="S293" s="13" t="str">
        <f aca="false">IF(Q293="","",Q293-R293-N(I293))</f>
        <v/>
      </c>
      <c r="T293" s="14" t="str">
        <f aca="true">IF(N293="","",IF(P293&lt;&gt;"",P293-N293,TODAY()-N293))</f>
        <v/>
      </c>
      <c r="U293" s="10"/>
      <c r="V293" s="14" t="str">
        <f aca="true">IF(AND(L293="Listed",N293&lt;&gt;"",P293=""),IF(TODAY()-N293&gt;=Settings!$B$6,"STALE",""),"")</f>
        <v/>
      </c>
    </row>
    <row r="294" customFormat="false" ht="15" hidden="false" customHeight="false" outlineLevel="0" collapsed="false">
      <c r="A294" s="10"/>
      <c r="B294" s="10"/>
      <c r="C294" s="10"/>
      <c r="D294" s="10"/>
      <c r="E294" s="10"/>
      <c r="F294" s="10"/>
      <c r="G294" s="10"/>
      <c r="H294" s="10"/>
      <c r="I294" s="11"/>
      <c r="J294" s="10"/>
      <c r="K294" s="10"/>
      <c r="L294" s="10"/>
      <c r="M294" s="12"/>
      <c r="N294" s="12"/>
      <c r="O294" s="11"/>
      <c r="P294" s="12"/>
      <c r="Q294" s="11"/>
      <c r="R294" s="13" t="str">
        <f aca="false">IF(Q294="","",ROUND(Q294*IFERROR(INDEX(Settings!$B$2:$B$4,MATCH(K294,Settings!$A$2:$A$4,0)),0)+IFERROR(INDEX(Settings!$C$2:$C$4,MATCH(K294,Settings!$A$2:$A$4,0)),0),2))</f>
        <v/>
      </c>
      <c r="S294" s="13" t="str">
        <f aca="false">IF(Q294="","",Q294-R294-N(I294))</f>
        <v/>
      </c>
      <c r="T294" s="14" t="str">
        <f aca="true">IF(N294="","",IF(P294&lt;&gt;"",P294-N294,TODAY()-N294))</f>
        <v/>
      </c>
      <c r="U294" s="10"/>
      <c r="V294" s="14" t="str">
        <f aca="true">IF(AND(L294="Listed",N294&lt;&gt;"",P294=""),IF(TODAY()-N294&gt;=Settings!$B$6,"STALE",""),"")</f>
        <v/>
      </c>
    </row>
    <row r="295" customFormat="false" ht="15" hidden="false" customHeight="false" outlineLevel="0" collapsed="false">
      <c r="A295" s="10"/>
      <c r="B295" s="10"/>
      <c r="C295" s="10"/>
      <c r="D295" s="10"/>
      <c r="E295" s="10"/>
      <c r="F295" s="10"/>
      <c r="G295" s="10"/>
      <c r="H295" s="10"/>
      <c r="I295" s="11"/>
      <c r="J295" s="10"/>
      <c r="K295" s="10"/>
      <c r="L295" s="10"/>
      <c r="M295" s="12"/>
      <c r="N295" s="12"/>
      <c r="O295" s="11"/>
      <c r="P295" s="12"/>
      <c r="Q295" s="11"/>
      <c r="R295" s="13" t="str">
        <f aca="false">IF(Q295="","",ROUND(Q295*IFERROR(INDEX(Settings!$B$2:$B$4,MATCH(K295,Settings!$A$2:$A$4,0)),0)+IFERROR(INDEX(Settings!$C$2:$C$4,MATCH(K295,Settings!$A$2:$A$4,0)),0),2))</f>
        <v/>
      </c>
      <c r="S295" s="13" t="str">
        <f aca="false">IF(Q295="","",Q295-R295-N(I295))</f>
        <v/>
      </c>
      <c r="T295" s="14" t="str">
        <f aca="true">IF(N295="","",IF(P295&lt;&gt;"",P295-N295,TODAY()-N295))</f>
        <v/>
      </c>
      <c r="U295" s="10"/>
      <c r="V295" s="14" t="str">
        <f aca="true">IF(AND(L295="Listed",N295&lt;&gt;"",P295=""),IF(TODAY()-N295&gt;=Settings!$B$6,"STALE",""),"")</f>
        <v/>
      </c>
    </row>
    <row r="296" customFormat="false" ht="15" hidden="false" customHeight="false" outlineLevel="0" collapsed="false">
      <c r="A296" s="10"/>
      <c r="B296" s="10"/>
      <c r="C296" s="10"/>
      <c r="D296" s="10"/>
      <c r="E296" s="10"/>
      <c r="F296" s="10"/>
      <c r="G296" s="10"/>
      <c r="H296" s="10"/>
      <c r="I296" s="11"/>
      <c r="J296" s="10"/>
      <c r="K296" s="10"/>
      <c r="L296" s="10"/>
      <c r="M296" s="12"/>
      <c r="N296" s="12"/>
      <c r="O296" s="11"/>
      <c r="P296" s="12"/>
      <c r="Q296" s="11"/>
      <c r="R296" s="13" t="str">
        <f aca="false">IF(Q296="","",ROUND(Q296*IFERROR(INDEX(Settings!$B$2:$B$4,MATCH(K296,Settings!$A$2:$A$4,0)),0)+IFERROR(INDEX(Settings!$C$2:$C$4,MATCH(K296,Settings!$A$2:$A$4,0)),0),2))</f>
        <v/>
      </c>
      <c r="S296" s="13" t="str">
        <f aca="false">IF(Q296="","",Q296-R296-N(I296))</f>
        <v/>
      </c>
      <c r="T296" s="14" t="str">
        <f aca="true">IF(N296="","",IF(P296&lt;&gt;"",P296-N296,TODAY()-N296))</f>
        <v/>
      </c>
      <c r="U296" s="10"/>
      <c r="V296" s="14" t="str">
        <f aca="true">IF(AND(L296="Listed",N296&lt;&gt;"",P296=""),IF(TODAY()-N296&gt;=Settings!$B$6,"STALE",""),"")</f>
        <v/>
      </c>
    </row>
    <row r="297" customFormat="false" ht="15" hidden="false" customHeight="false" outlineLevel="0" collapsed="false">
      <c r="A297" s="10"/>
      <c r="B297" s="10"/>
      <c r="C297" s="10"/>
      <c r="D297" s="10"/>
      <c r="E297" s="10"/>
      <c r="F297" s="10"/>
      <c r="G297" s="10"/>
      <c r="H297" s="10"/>
      <c r="I297" s="11"/>
      <c r="J297" s="10"/>
      <c r="K297" s="10"/>
      <c r="L297" s="10"/>
      <c r="M297" s="12"/>
      <c r="N297" s="12"/>
      <c r="O297" s="11"/>
      <c r="P297" s="12"/>
      <c r="Q297" s="11"/>
      <c r="R297" s="13" t="str">
        <f aca="false">IF(Q297="","",ROUND(Q297*IFERROR(INDEX(Settings!$B$2:$B$4,MATCH(K297,Settings!$A$2:$A$4,0)),0)+IFERROR(INDEX(Settings!$C$2:$C$4,MATCH(K297,Settings!$A$2:$A$4,0)),0),2))</f>
        <v/>
      </c>
      <c r="S297" s="13" t="str">
        <f aca="false">IF(Q297="","",Q297-R297-N(I297))</f>
        <v/>
      </c>
      <c r="T297" s="14" t="str">
        <f aca="true">IF(N297="","",IF(P297&lt;&gt;"",P297-N297,TODAY()-N297))</f>
        <v/>
      </c>
      <c r="U297" s="10"/>
      <c r="V297" s="14" t="str">
        <f aca="true">IF(AND(L297="Listed",N297&lt;&gt;"",P297=""),IF(TODAY()-N297&gt;=Settings!$B$6,"STALE",""),"")</f>
        <v/>
      </c>
    </row>
    <row r="298" customFormat="false" ht="15" hidden="false" customHeight="false" outlineLevel="0" collapsed="false">
      <c r="A298" s="10"/>
      <c r="B298" s="10"/>
      <c r="C298" s="10"/>
      <c r="D298" s="10"/>
      <c r="E298" s="10"/>
      <c r="F298" s="10"/>
      <c r="G298" s="10"/>
      <c r="H298" s="10"/>
      <c r="I298" s="11"/>
      <c r="J298" s="10"/>
      <c r="K298" s="10"/>
      <c r="L298" s="10"/>
      <c r="M298" s="12"/>
      <c r="N298" s="12"/>
      <c r="O298" s="11"/>
      <c r="P298" s="12"/>
      <c r="Q298" s="11"/>
      <c r="R298" s="13" t="str">
        <f aca="false">IF(Q298="","",ROUND(Q298*IFERROR(INDEX(Settings!$B$2:$B$4,MATCH(K298,Settings!$A$2:$A$4,0)),0)+IFERROR(INDEX(Settings!$C$2:$C$4,MATCH(K298,Settings!$A$2:$A$4,0)),0),2))</f>
        <v/>
      </c>
      <c r="S298" s="13" t="str">
        <f aca="false">IF(Q298="","",Q298-R298-N(I298))</f>
        <v/>
      </c>
      <c r="T298" s="14" t="str">
        <f aca="true">IF(N298="","",IF(P298&lt;&gt;"",P298-N298,TODAY()-N298))</f>
        <v/>
      </c>
      <c r="U298" s="10"/>
      <c r="V298" s="14" t="str">
        <f aca="true">IF(AND(L298="Listed",N298&lt;&gt;"",P298=""),IF(TODAY()-N298&gt;=Settings!$B$6,"STALE",""),"")</f>
        <v/>
      </c>
    </row>
    <row r="299" customFormat="false" ht="15" hidden="false" customHeight="false" outlineLevel="0" collapsed="false">
      <c r="A299" s="10"/>
      <c r="B299" s="10"/>
      <c r="C299" s="10"/>
      <c r="D299" s="10"/>
      <c r="E299" s="10"/>
      <c r="F299" s="10"/>
      <c r="G299" s="10"/>
      <c r="H299" s="10"/>
      <c r="I299" s="11"/>
      <c r="J299" s="10"/>
      <c r="K299" s="10"/>
      <c r="L299" s="10"/>
      <c r="M299" s="12"/>
      <c r="N299" s="12"/>
      <c r="O299" s="11"/>
      <c r="P299" s="12"/>
      <c r="Q299" s="11"/>
      <c r="R299" s="13" t="str">
        <f aca="false">IF(Q299="","",ROUND(Q299*IFERROR(INDEX(Settings!$B$2:$B$4,MATCH(K299,Settings!$A$2:$A$4,0)),0)+IFERROR(INDEX(Settings!$C$2:$C$4,MATCH(K299,Settings!$A$2:$A$4,0)),0),2))</f>
        <v/>
      </c>
      <c r="S299" s="13" t="str">
        <f aca="false">IF(Q299="","",Q299-R299-N(I299))</f>
        <v/>
      </c>
      <c r="T299" s="14" t="str">
        <f aca="true">IF(N299="","",IF(P299&lt;&gt;"",P299-N299,TODAY()-N299))</f>
        <v/>
      </c>
      <c r="U299" s="10"/>
      <c r="V299" s="14" t="str">
        <f aca="true">IF(AND(L299="Listed",N299&lt;&gt;"",P299=""),IF(TODAY()-N299&gt;=Settings!$B$6,"STALE",""),"")</f>
        <v/>
      </c>
    </row>
    <row r="300" customFormat="false" ht="15" hidden="false" customHeight="false" outlineLevel="0" collapsed="false">
      <c r="A300" s="10"/>
      <c r="B300" s="10"/>
      <c r="C300" s="10"/>
      <c r="D300" s="10"/>
      <c r="E300" s="10"/>
      <c r="F300" s="10"/>
      <c r="G300" s="10"/>
      <c r="H300" s="10"/>
      <c r="I300" s="11"/>
      <c r="J300" s="10"/>
      <c r="K300" s="10"/>
      <c r="L300" s="10"/>
      <c r="M300" s="12"/>
      <c r="N300" s="12"/>
      <c r="O300" s="11"/>
      <c r="P300" s="12"/>
      <c r="Q300" s="11"/>
      <c r="R300" s="13" t="str">
        <f aca="false">IF(Q300="","",ROUND(Q300*IFERROR(INDEX(Settings!$B$2:$B$4,MATCH(K300,Settings!$A$2:$A$4,0)),0)+IFERROR(INDEX(Settings!$C$2:$C$4,MATCH(K300,Settings!$A$2:$A$4,0)),0),2))</f>
        <v/>
      </c>
      <c r="S300" s="13" t="str">
        <f aca="false">IF(Q300="","",Q300-R300-N(I300))</f>
        <v/>
      </c>
      <c r="T300" s="14" t="str">
        <f aca="true">IF(N300="","",IF(P300&lt;&gt;"",P300-N300,TODAY()-N300))</f>
        <v/>
      </c>
      <c r="U300" s="10"/>
      <c r="V300" s="14" t="str">
        <f aca="true">IF(AND(L300="Listed",N300&lt;&gt;"",P300=""),IF(TODAY()-N300&gt;=Settings!$B$6,"STALE",""),"")</f>
        <v/>
      </c>
    </row>
    <row r="301" customFormat="false" ht="15" hidden="false" customHeight="false" outlineLevel="0" collapsed="false">
      <c r="A301" s="10"/>
      <c r="B301" s="10"/>
      <c r="C301" s="10"/>
      <c r="D301" s="10"/>
      <c r="E301" s="10"/>
      <c r="F301" s="10"/>
      <c r="G301" s="10"/>
      <c r="H301" s="10"/>
      <c r="I301" s="11"/>
      <c r="J301" s="10"/>
      <c r="K301" s="10"/>
      <c r="L301" s="10"/>
      <c r="M301" s="12"/>
      <c r="N301" s="12"/>
      <c r="O301" s="11"/>
      <c r="P301" s="12"/>
      <c r="Q301" s="11"/>
      <c r="R301" s="13" t="str">
        <f aca="false">IF(Q301="","",ROUND(Q301*IFERROR(INDEX(Settings!$B$2:$B$4,MATCH(K301,Settings!$A$2:$A$4,0)),0)+IFERROR(INDEX(Settings!$C$2:$C$4,MATCH(K301,Settings!$A$2:$A$4,0)),0),2))</f>
        <v/>
      </c>
      <c r="S301" s="13" t="str">
        <f aca="false">IF(Q301="","",Q301-R301-N(I301))</f>
        <v/>
      </c>
      <c r="T301" s="14" t="str">
        <f aca="true">IF(N301="","",IF(P301&lt;&gt;"",P301-N301,TODAY()-N301))</f>
        <v/>
      </c>
      <c r="U301" s="10"/>
      <c r="V301" s="14" t="str">
        <f aca="true">IF(AND(L301="Listed",N301&lt;&gt;"",P301=""),IF(TODAY()-N301&gt;=Settings!$B$6,"STALE",""),"")</f>
        <v/>
      </c>
    </row>
    <row r="302" customFormat="false" ht="15" hidden="false" customHeight="false" outlineLevel="0" collapsed="false">
      <c r="A302" s="10"/>
      <c r="B302" s="10"/>
      <c r="C302" s="10"/>
      <c r="D302" s="10"/>
      <c r="E302" s="10"/>
      <c r="F302" s="10"/>
      <c r="G302" s="10"/>
      <c r="H302" s="10"/>
      <c r="I302" s="11"/>
      <c r="J302" s="10"/>
      <c r="K302" s="10"/>
      <c r="L302" s="10"/>
      <c r="M302" s="12"/>
      <c r="N302" s="12"/>
      <c r="O302" s="11"/>
      <c r="P302" s="12"/>
      <c r="Q302" s="11"/>
      <c r="R302" s="13" t="str">
        <f aca="false">IF(Q302="","",ROUND(Q302*IFERROR(INDEX(Settings!$B$2:$B$4,MATCH(K302,Settings!$A$2:$A$4,0)),0)+IFERROR(INDEX(Settings!$C$2:$C$4,MATCH(K302,Settings!$A$2:$A$4,0)),0),2))</f>
        <v/>
      </c>
      <c r="S302" s="13" t="str">
        <f aca="false">IF(Q302="","",Q302-R302-N(I302))</f>
        <v/>
      </c>
      <c r="T302" s="14" t="str">
        <f aca="true">IF(N302="","",IF(P302&lt;&gt;"",P302-N302,TODAY()-N302))</f>
        <v/>
      </c>
      <c r="U302" s="10"/>
      <c r="V302" s="14" t="str">
        <f aca="true">IF(AND(L302="Listed",N302&lt;&gt;"",P302=""),IF(TODAY()-N302&gt;=Settings!$B$6,"STALE",""),"")</f>
        <v/>
      </c>
    </row>
    <row r="303" customFormat="false" ht="15" hidden="false" customHeight="false" outlineLevel="0" collapsed="false">
      <c r="A303" s="10"/>
      <c r="B303" s="10"/>
      <c r="C303" s="10"/>
      <c r="D303" s="10"/>
      <c r="E303" s="10"/>
      <c r="F303" s="10"/>
      <c r="G303" s="10"/>
      <c r="H303" s="10"/>
      <c r="I303" s="11"/>
      <c r="J303" s="10"/>
      <c r="K303" s="10"/>
      <c r="L303" s="10"/>
      <c r="M303" s="12"/>
      <c r="N303" s="12"/>
      <c r="O303" s="11"/>
      <c r="P303" s="12"/>
      <c r="Q303" s="11"/>
      <c r="R303" s="13" t="str">
        <f aca="false">IF(Q303="","",ROUND(Q303*IFERROR(INDEX(Settings!$B$2:$B$4,MATCH(K303,Settings!$A$2:$A$4,0)),0)+IFERROR(INDEX(Settings!$C$2:$C$4,MATCH(K303,Settings!$A$2:$A$4,0)),0),2))</f>
        <v/>
      </c>
      <c r="S303" s="13" t="str">
        <f aca="false">IF(Q303="","",Q303-R303-N(I303))</f>
        <v/>
      </c>
      <c r="T303" s="14" t="str">
        <f aca="true">IF(N303="","",IF(P303&lt;&gt;"",P303-N303,TODAY()-N303))</f>
        <v/>
      </c>
      <c r="U303" s="10"/>
      <c r="V303" s="14" t="str">
        <f aca="true">IF(AND(L303="Listed",N303&lt;&gt;"",P303=""),IF(TODAY()-N303&gt;=Settings!$B$6,"STALE",""),"")</f>
        <v/>
      </c>
    </row>
    <row r="304" customFormat="false" ht="15" hidden="false" customHeight="false" outlineLevel="0" collapsed="false">
      <c r="A304" s="10"/>
      <c r="B304" s="10"/>
      <c r="C304" s="10"/>
      <c r="D304" s="10"/>
      <c r="E304" s="10"/>
      <c r="F304" s="10"/>
      <c r="G304" s="10"/>
      <c r="H304" s="10"/>
      <c r="I304" s="11"/>
      <c r="J304" s="10"/>
      <c r="K304" s="10"/>
      <c r="L304" s="10"/>
      <c r="M304" s="12"/>
      <c r="N304" s="12"/>
      <c r="O304" s="11"/>
      <c r="P304" s="12"/>
      <c r="Q304" s="11"/>
      <c r="R304" s="13" t="str">
        <f aca="false">IF(Q304="","",ROUND(Q304*IFERROR(INDEX(Settings!$B$2:$B$4,MATCH(K304,Settings!$A$2:$A$4,0)),0)+IFERROR(INDEX(Settings!$C$2:$C$4,MATCH(K304,Settings!$A$2:$A$4,0)),0),2))</f>
        <v/>
      </c>
      <c r="S304" s="13" t="str">
        <f aca="false">IF(Q304="","",Q304-R304-N(I304))</f>
        <v/>
      </c>
      <c r="T304" s="14" t="str">
        <f aca="true">IF(N304="","",IF(P304&lt;&gt;"",P304-N304,TODAY()-N304))</f>
        <v/>
      </c>
      <c r="U304" s="10"/>
      <c r="V304" s="14" t="str">
        <f aca="true">IF(AND(L304="Listed",N304&lt;&gt;"",P304=""),IF(TODAY()-N304&gt;=Settings!$B$6,"STALE",""),"")</f>
        <v/>
      </c>
    </row>
    <row r="305" customFormat="false" ht="15" hidden="false" customHeight="false" outlineLevel="0" collapsed="false">
      <c r="A305" s="10"/>
      <c r="B305" s="10"/>
      <c r="C305" s="10"/>
      <c r="D305" s="10"/>
      <c r="E305" s="10"/>
      <c r="F305" s="10"/>
      <c r="G305" s="10"/>
      <c r="H305" s="10"/>
      <c r="I305" s="11"/>
      <c r="J305" s="10"/>
      <c r="K305" s="10"/>
      <c r="L305" s="10"/>
      <c r="M305" s="12"/>
      <c r="N305" s="12"/>
      <c r="O305" s="11"/>
      <c r="P305" s="12"/>
      <c r="Q305" s="11"/>
      <c r="R305" s="13" t="str">
        <f aca="false">IF(Q305="","",ROUND(Q305*IFERROR(INDEX(Settings!$B$2:$B$4,MATCH(K305,Settings!$A$2:$A$4,0)),0)+IFERROR(INDEX(Settings!$C$2:$C$4,MATCH(K305,Settings!$A$2:$A$4,0)),0),2))</f>
        <v/>
      </c>
      <c r="S305" s="13" t="str">
        <f aca="false">IF(Q305="","",Q305-R305-N(I305))</f>
        <v/>
      </c>
      <c r="T305" s="14" t="str">
        <f aca="true">IF(N305="","",IF(P305&lt;&gt;"",P305-N305,TODAY()-N305))</f>
        <v/>
      </c>
      <c r="U305" s="10"/>
      <c r="V305" s="14" t="str">
        <f aca="true">IF(AND(L305="Listed",N305&lt;&gt;"",P305=""),IF(TODAY()-N305&gt;=Settings!$B$6,"STALE",""),"")</f>
        <v/>
      </c>
    </row>
    <row r="306" customFormat="false" ht="15" hidden="false" customHeight="false" outlineLevel="0" collapsed="false">
      <c r="A306" s="10"/>
      <c r="B306" s="10"/>
      <c r="C306" s="10"/>
      <c r="D306" s="10"/>
      <c r="E306" s="10"/>
      <c r="F306" s="10"/>
      <c r="G306" s="10"/>
      <c r="H306" s="10"/>
      <c r="I306" s="11"/>
      <c r="J306" s="10"/>
      <c r="K306" s="10"/>
      <c r="L306" s="10"/>
      <c r="M306" s="12"/>
      <c r="N306" s="12"/>
      <c r="O306" s="11"/>
      <c r="P306" s="12"/>
      <c r="Q306" s="11"/>
      <c r="R306" s="13" t="str">
        <f aca="false">IF(Q306="","",ROUND(Q306*IFERROR(INDEX(Settings!$B$2:$B$4,MATCH(K306,Settings!$A$2:$A$4,0)),0)+IFERROR(INDEX(Settings!$C$2:$C$4,MATCH(K306,Settings!$A$2:$A$4,0)),0),2))</f>
        <v/>
      </c>
      <c r="S306" s="13" t="str">
        <f aca="false">IF(Q306="","",Q306-R306-N(I306))</f>
        <v/>
      </c>
      <c r="T306" s="14" t="str">
        <f aca="true">IF(N306="","",IF(P306&lt;&gt;"",P306-N306,TODAY()-N306))</f>
        <v/>
      </c>
      <c r="U306" s="10"/>
      <c r="V306" s="14" t="str">
        <f aca="true">IF(AND(L306="Listed",N306&lt;&gt;"",P306=""),IF(TODAY()-N306&gt;=Settings!$B$6,"STALE",""),"")</f>
        <v/>
      </c>
    </row>
    <row r="307" customFormat="false" ht="15" hidden="false" customHeight="false" outlineLevel="0" collapsed="false">
      <c r="A307" s="10"/>
      <c r="B307" s="10"/>
      <c r="C307" s="10"/>
      <c r="D307" s="10"/>
      <c r="E307" s="10"/>
      <c r="F307" s="10"/>
      <c r="G307" s="10"/>
      <c r="H307" s="10"/>
      <c r="I307" s="11"/>
      <c r="J307" s="10"/>
      <c r="K307" s="10"/>
      <c r="L307" s="10"/>
      <c r="M307" s="12"/>
      <c r="N307" s="12"/>
      <c r="O307" s="11"/>
      <c r="P307" s="12"/>
      <c r="Q307" s="11"/>
      <c r="R307" s="13" t="str">
        <f aca="false">IF(Q307="","",ROUND(Q307*IFERROR(INDEX(Settings!$B$2:$B$4,MATCH(K307,Settings!$A$2:$A$4,0)),0)+IFERROR(INDEX(Settings!$C$2:$C$4,MATCH(K307,Settings!$A$2:$A$4,0)),0),2))</f>
        <v/>
      </c>
      <c r="S307" s="13" t="str">
        <f aca="false">IF(Q307="","",Q307-R307-N(I307))</f>
        <v/>
      </c>
      <c r="T307" s="14" t="str">
        <f aca="true">IF(N307="","",IF(P307&lt;&gt;"",P307-N307,TODAY()-N307))</f>
        <v/>
      </c>
      <c r="U307" s="10"/>
      <c r="V307" s="14" t="str">
        <f aca="true">IF(AND(L307="Listed",N307&lt;&gt;"",P307=""),IF(TODAY()-N307&gt;=Settings!$B$6,"STALE",""),"")</f>
        <v/>
      </c>
    </row>
    <row r="308" customFormat="false" ht="15" hidden="false" customHeight="false" outlineLevel="0" collapsed="false">
      <c r="A308" s="10"/>
      <c r="B308" s="10"/>
      <c r="C308" s="10"/>
      <c r="D308" s="10"/>
      <c r="E308" s="10"/>
      <c r="F308" s="10"/>
      <c r="G308" s="10"/>
      <c r="H308" s="10"/>
      <c r="I308" s="11"/>
      <c r="J308" s="10"/>
      <c r="K308" s="10"/>
      <c r="L308" s="10"/>
      <c r="M308" s="12"/>
      <c r="N308" s="12"/>
      <c r="O308" s="11"/>
      <c r="P308" s="12"/>
      <c r="Q308" s="11"/>
      <c r="R308" s="13" t="str">
        <f aca="false">IF(Q308="","",ROUND(Q308*IFERROR(INDEX(Settings!$B$2:$B$4,MATCH(K308,Settings!$A$2:$A$4,0)),0)+IFERROR(INDEX(Settings!$C$2:$C$4,MATCH(K308,Settings!$A$2:$A$4,0)),0),2))</f>
        <v/>
      </c>
      <c r="S308" s="13" t="str">
        <f aca="false">IF(Q308="","",Q308-R308-N(I308))</f>
        <v/>
      </c>
      <c r="T308" s="14" t="str">
        <f aca="true">IF(N308="","",IF(P308&lt;&gt;"",P308-N308,TODAY()-N308))</f>
        <v/>
      </c>
      <c r="U308" s="10"/>
      <c r="V308" s="14" t="str">
        <f aca="true">IF(AND(L308="Listed",N308&lt;&gt;"",P308=""),IF(TODAY()-N308&gt;=Settings!$B$6,"STALE",""),"")</f>
        <v/>
      </c>
    </row>
    <row r="309" customFormat="false" ht="15" hidden="false" customHeight="false" outlineLevel="0" collapsed="false">
      <c r="A309" s="10"/>
      <c r="B309" s="10"/>
      <c r="C309" s="10"/>
      <c r="D309" s="10"/>
      <c r="E309" s="10"/>
      <c r="F309" s="10"/>
      <c r="G309" s="10"/>
      <c r="H309" s="10"/>
      <c r="I309" s="11"/>
      <c r="J309" s="10"/>
      <c r="K309" s="10"/>
      <c r="L309" s="10"/>
      <c r="M309" s="12"/>
      <c r="N309" s="12"/>
      <c r="O309" s="11"/>
      <c r="P309" s="12"/>
      <c r="Q309" s="11"/>
      <c r="R309" s="13" t="str">
        <f aca="false">IF(Q309="","",ROUND(Q309*IFERROR(INDEX(Settings!$B$2:$B$4,MATCH(K309,Settings!$A$2:$A$4,0)),0)+IFERROR(INDEX(Settings!$C$2:$C$4,MATCH(K309,Settings!$A$2:$A$4,0)),0),2))</f>
        <v/>
      </c>
      <c r="S309" s="13" t="str">
        <f aca="false">IF(Q309="","",Q309-R309-N(I309))</f>
        <v/>
      </c>
      <c r="T309" s="14" t="str">
        <f aca="true">IF(N309="","",IF(P309&lt;&gt;"",P309-N309,TODAY()-N309))</f>
        <v/>
      </c>
      <c r="U309" s="10"/>
      <c r="V309" s="14" t="str">
        <f aca="true">IF(AND(L309="Listed",N309&lt;&gt;"",P309=""),IF(TODAY()-N309&gt;=Settings!$B$6,"STALE",""),"")</f>
        <v/>
      </c>
    </row>
    <row r="310" customFormat="false" ht="15" hidden="false" customHeight="false" outlineLevel="0" collapsed="false">
      <c r="A310" s="10"/>
      <c r="B310" s="10"/>
      <c r="C310" s="10"/>
      <c r="D310" s="10"/>
      <c r="E310" s="10"/>
      <c r="F310" s="10"/>
      <c r="G310" s="10"/>
      <c r="H310" s="10"/>
      <c r="I310" s="11"/>
      <c r="J310" s="10"/>
      <c r="K310" s="10"/>
      <c r="L310" s="10"/>
      <c r="M310" s="12"/>
      <c r="N310" s="12"/>
      <c r="O310" s="11"/>
      <c r="P310" s="12"/>
      <c r="Q310" s="11"/>
      <c r="R310" s="13" t="str">
        <f aca="false">IF(Q310="","",ROUND(Q310*IFERROR(INDEX(Settings!$B$2:$B$4,MATCH(K310,Settings!$A$2:$A$4,0)),0)+IFERROR(INDEX(Settings!$C$2:$C$4,MATCH(K310,Settings!$A$2:$A$4,0)),0),2))</f>
        <v/>
      </c>
      <c r="S310" s="13" t="str">
        <f aca="false">IF(Q310="","",Q310-R310-N(I310))</f>
        <v/>
      </c>
      <c r="T310" s="14" t="str">
        <f aca="true">IF(N310="","",IF(P310&lt;&gt;"",P310-N310,TODAY()-N310))</f>
        <v/>
      </c>
      <c r="U310" s="10"/>
      <c r="V310" s="14" t="str">
        <f aca="true">IF(AND(L310="Listed",N310&lt;&gt;"",P310=""),IF(TODAY()-N310&gt;=Settings!$B$6,"STALE",""),"")</f>
        <v/>
      </c>
    </row>
    <row r="311" customFormat="false" ht="15" hidden="false" customHeight="false" outlineLevel="0" collapsed="false">
      <c r="A311" s="10"/>
      <c r="B311" s="10"/>
      <c r="C311" s="10"/>
      <c r="D311" s="10"/>
      <c r="E311" s="10"/>
      <c r="F311" s="10"/>
      <c r="G311" s="10"/>
      <c r="H311" s="10"/>
      <c r="I311" s="11"/>
      <c r="J311" s="10"/>
      <c r="K311" s="10"/>
      <c r="L311" s="10"/>
      <c r="M311" s="12"/>
      <c r="N311" s="12"/>
      <c r="O311" s="11"/>
      <c r="P311" s="12"/>
      <c r="Q311" s="11"/>
      <c r="R311" s="13" t="str">
        <f aca="false">IF(Q311="","",ROUND(Q311*IFERROR(INDEX(Settings!$B$2:$B$4,MATCH(K311,Settings!$A$2:$A$4,0)),0)+IFERROR(INDEX(Settings!$C$2:$C$4,MATCH(K311,Settings!$A$2:$A$4,0)),0),2))</f>
        <v/>
      </c>
      <c r="S311" s="13" t="str">
        <f aca="false">IF(Q311="","",Q311-R311-N(I311))</f>
        <v/>
      </c>
      <c r="T311" s="14" t="str">
        <f aca="true">IF(N311="","",IF(P311&lt;&gt;"",P311-N311,TODAY()-N311))</f>
        <v/>
      </c>
      <c r="U311" s="10"/>
      <c r="V311" s="14" t="str">
        <f aca="true">IF(AND(L311="Listed",N311&lt;&gt;"",P311=""),IF(TODAY()-N311&gt;=Settings!$B$6,"STALE",""),"")</f>
        <v/>
      </c>
    </row>
    <row r="312" customFormat="false" ht="15" hidden="false" customHeight="false" outlineLevel="0" collapsed="false">
      <c r="A312" s="10"/>
      <c r="B312" s="10"/>
      <c r="C312" s="10"/>
      <c r="D312" s="10"/>
      <c r="E312" s="10"/>
      <c r="F312" s="10"/>
      <c r="G312" s="10"/>
      <c r="H312" s="10"/>
      <c r="I312" s="11"/>
      <c r="J312" s="10"/>
      <c r="K312" s="10"/>
      <c r="L312" s="10"/>
      <c r="M312" s="12"/>
      <c r="N312" s="12"/>
      <c r="O312" s="11"/>
      <c r="P312" s="12"/>
      <c r="Q312" s="11"/>
      <c r="R312" s="13" t="str">
        <f aca="false">IF(Q312="","",ROUND(Q312*IFERROR(INDEX(Settings!$B$2:$B$4,MATCH(K312,Settings!$A$2:$A$4,0)),0)+IFERROR(INDEX(Settings!$C$2:$C$4,MATCH(K312,Settings!$A$2:$A$4,0)),0),2))</f>
        <v/>
      </c>
      <c r="S312" s="13" t="str">
        <f aca="false">IF(Q312="","",Q312-R312-N(I312))</f>
        <v/>
      </c>
      <c r="T312" s="14" t="str">
        <f aca="true">IF(N312="","",IF(P312&lt;&gt;"",P312-N312,TODAY()-N312))</f>
        <v/>
      </c>
      <c r="U312" s="10"/>
      <c r="V312" s="14" t="str">
        <f aca="true">IF(AND(L312="Listed",N312&lt;&gt;"",P312=""),IF(TODAY()-N312&gt;=Settings!$B$6,"STALE",""),"")</f>
        <v/>
      </c>
    </row>
    <row r="313" customFormat="false" ht="15" hidden="false" customHeight="false" outlineLevel="0" collapsed="false">
      <c r="A313" s="10"/>
      <c r="B313" s="10"/>
      <c r="C313" s="10"/>
      <c r="D313" s="10"/>
      <c r="E313" s="10"/>
      <c r="F313" s="10"/>
      <c r="G313" s="10"/>
      <c r="H313" s="10"/>
      <c r="I313" s="11"/>
      <c r="J313" s="10"/>
      <c r="K313" s="10"/>
      <c r="L313" s="10"/>
      <c r="M313" s="12"/>
      <c r="N313" s="12"/>
      <c r="O313" s="11"/>
      <c r="P313" s="12"/>
      <c r="Q313" s="11"/>
      <c r="R313" s="13" t="str">
        <f aca="false">IF(Q313="","",ROUND(Q313*IFERROR(INDEX(Settings!$B$2:$B$4,MATCH(K313,Settings!$A$2:$A$4,0)),0)+IFERROR(INDEX(Settings!$C$2:$C$4,MATCH(K313,Settings!$A$2:$A$4,0)),0),2))</f>
        <v/>
      </c>
      <c r="S313" s="13" t="str">
        <f aca="false">IF(Q313="","",Q313-R313-N(I313))</f>
        <v/>
      </c>
      <c r="T313" s="14" t="str">
        <f aca="true">IF(N313="","",IF(P313&lt;&gt;"",P313-N313,TODAY()-N313))</f>
        <v/>
      </c>
      <c r="U313" s="10"/>
      <c r="V313" s="14" t="str">
        <f aca="true">IF(AND(L313="Listed",N313&lt;&gt;"",P313=""),IF(TODAY()-N313&gt;=Settings!$B$6,"STALE",""),"")</f>
        <v/>
      </c>
    </row>
    <row r="314" customFormat="false" ht="15" hidden="false" customHeight="false" outlineLevel="0" collapsed="false">
      <c r="A314" s="10"/>
      <c r="B314" s="10"/>
      <c r="C314" s="10"/>
      <c r="D314" s="10"/>
      <c r="E314" s="10"/>
      <c r="F314" s="10"/>
      <c r="G314" s="10"/>
      <c r="H314" s="10"/>
      <c r="I314" s="11"/>
      <c r="J314" s="10"/>
      <c r="K314" s="10"/>
      <c r="L314" s="10"/>
      <c r="M314" s="12"/>
      <c r="N314" s="12"/>
      <c r="O314" s="11"/>
      <c r="P314" s="12"/>
      <c r="Q314" s="11"/>
      <c r="R314" s="13" t="str">
        <f aca="false">IF(Q314="","",ROUND(Q314*IFERROR(INDEX(Settings!$B$2:$B$4,MATCH(K314,Settings!$A$2:$A$4,0)),0)+IFERROR(INDEX(Settings!$C$2:$C$4,MATCH(K314,Settings!$A$2:$A$4,0)),0),2))</f>
        <v/>
      </c>
      <c r="S314" s="13" t="str">
        <f aca="false">IF(Q314="","",Q314-R314-N(I314))</f>
        <v/>
      </c>
      <c r="T314" s="14" t="str">
        <f aca="true">IF(N314="","",IF(P314&lt;&gt;"",P314-N314,TODAY()-N314))</f>
        <v/>
      </c>
      <c r="U314" s="10"/>
      <c r="V314" s="14" t="str">
        <f aca="true">IF(AND(L314="Listed",N314&lt;&gt;"",P314=""),IF(TODAY()-N314&gt;=Settings!$B$6,"STALE",""),"")</f>
        <v/>
      </c>
    </row>
    <row r="315" customFormat="false" ht="15" hidden="false" customHeight="false" outlineLevel="0" collapsed="false">
      <c r="A315" s="10"/>
      <c r="B315" s="10"/>
      <c r="C315" s="10"/>
      <c r="D315" s="10"/>
      <c r="E315" s="10"/>
      <c r="F315" s="10"/>
      <c r="G315" s="10"/>
      <c r="H315" s="10"/>
      <c r="I315" s="11"/>
      <c r="J315" s="10"/>
      <c r="K315" s="10"/>
      <c r="L315" s="10"/>
      <c r="M315" s="12"/>
      <c r="N315" s="12"/>
      <c r="O315" s="11"/>
      <c r="P315" s="12"/>
      <c r="Q315" s="11"/>
      <c r="R315" s="13" t="str">
        <f aca="false">IF(Q315="","",ROUND(Q315*IFERROR(INDEX(Settings!$B$2:$B$4,MATCH(K315,Settings!$A$2:$A$4,0)),0)+IFERROR(INDEX(Settings!$C$2:$C$4,MATCH(K315,Settings!$A$2:$A$4,0)),0),2))</f>
        <v/>
      </c>
      <c r="S315" s="13" t="str">
        <f aca="false">IF(Q315="","",Q315-R315-N(I315))</f>
        <v/>
      </c>
      <c r="T315" s="14" t="str">
        <f aca="true">IF(N315="","",IF(P315&lt;&gt;"",P315-N315,TODAY()-N315))</f>
        <v/>
      </c>
      <c r="U315" s="10"/>
      <c r="V315" s="14" t="str">
        <f aca="true">IF(AND(L315="Listed",N315&lt;&gt;"",P315=""),IF(TODAY()-N315&gt;=Settings!$B$6,"STALE",""),"")</f>
        <v/>
      </c>
    </row>
    <row r="316" customFormat="false" ht="15" hidden="false" customHeight="false" outlineLevel="0" collapsed="false">
      <c r="A316" s="10"/>
      <c r="B316" s="10"/>
      <c r="C316" s="10"/>
      <c r="D316" s="10"/>
      <c r="E316" s="10"/>
      <c r="F316" s="10"/>
      <c r="G316" s="10"/>
      <c r="H316" s="10"/>
      <c r="I316" s="11"/>
      <c r="J316" s="10"/>
      <c r="K316" s="10"/>
      <c r="L316" s="10"/>
      <c r="M316" s="12"/>
      <c r="N316" s="12"/>
      <c r="O316" s="11"/>
      <c r="P316" s="12"/>
      <c r="Q316" s="11"/>
      <c r="R316" s="13" t="str">
        <f aca="false">IF(Q316="","",ROUND(Q316*IFERROR(INDEX(Settings!$B$2:$B$4,MATCH(K316,Settings!$A$2:$A$4,0)),0)+IFERROR(INDEX(Settings!$C$2:$C$4,MATCH(K316,Settings!$A$2:$A$4,0)),0),2))</f>
        <v/>
      </c>
      <c r="S316" s="13" t="str">
        <f aca="false">IF(Q316="","",Q316-R316-N(I316))</f>
        <v/>
      </c>
      <c r="T316" s="14" t="str">
        <f aca="true">IF(N316="","",IF(P316&lt;&gt;"",P316-N316,TODAY()-N316))</f>
        <v/>
      </c>
      <c r="U316" s="10"/>
      <c r="V316" s="14" t="str">
        <f aca="true">IF(AND(L316="Listed",N316&lt;&gt;"",P316=""),IF(TODAY()-N316&gt;=Settings!$B$6,"STALE",""),"")</f>
        <v/>
      </c>
    </row>
    <row r="317" customFormat="false" ht="15" hidden="false" customHeight="false" outlineLevel="0" collapsed="false">
      <c r="A317" s="10"/>
      <c r="B317" s="10"/>
      <c r="C317" s="10"/>
      <c r="D317" s="10"/>
      <c r="E317" s="10"/>
      <c r="F317" s="10"/>
      <c r="G317" s="10"/>
      <c r="H317" s="10"/>
      <c r="I317" s="11"/>
      <c r="J317" s="10"/>
      <c r="K317" s="10"/>
      <c r="L317" s="10"/>
      <c r="M317" s="12"/>
      <c r="N317" s="12"/>
      <c r="O317" s="11"/>
      <c r="P317" s="12"/>
      <c r="Q317" s="11"/>
      <c r="R317" s="13" t="str">
        <f aca="false">IF(Q317="","",ROUND(Q317*IFERROR(INDEX(Settings!$B$2:$B$4,MATCH(K317,Settings!$A$2:$A$4,0)),0)+IFERROR(INDEX(Settings!$C$2:$C$4,MATCH(K317,Settings!$A$2:$A$4,0)),0),2))</f>
        <v/>
      </c>
      <c r="S317" s="13" t="str">
        <f aca="false">IF(Q317="","",Q317-R317-N(I317))</f>
        <v/>
      </c>
      <c r="T317" s="14" t="str">
        <f aca="true">IF(N317="","",IF(P317&lt;&gt;"",P317-N317,TODAY()-N317))</f>
        <v/>
      </c>
      <c r="U317" s="10"/>
      <c r="V317" s="14" t="str">
        <f aca="true">IF(AND(L317="Listed",N317&lt;&gt;"",P317=""),IF(TODAY()-N317&gt;=Settings!$B$6,"STALE",""),"")</f>
        <v/>
      </c>
    </row>
    <row r="318" customFormat="false" ht="15" hidden="false" customHeight="false" outlineLevel="0" collapsed="false">
      <c r="A318" s="10"/>
      <c r="B318" s="10"/>
      <c r="C318" s="10"/>
      <c r="D318" s="10"/>
      <c r="E318" s="10"/>
      <c r="F318" s="10"/>
      <c r="G318" s="10"/>
      <c r="H318" s="10"/>
      <c r="I318" s="11"/>
      <c r="J318" s="10"/>
      <c r="K318" s="10"/>
      <c r="L318" s="10"/>
      <c r="M318" s="12"/>
      <c r="N318" s="12"/>
      <c r="O318" s="11"/>
      <c r="P318" s="12"/>
      <c r="Q318" s="11"/>
      <c r="R318" s="13" t="str">
        <f aca="false">IF(Q318="","",ROUND(Q318*IFERROR(INDEX(Settings!$B$2:$B$4,MATCH(K318,Settings!$A$2:$A$4,0)),0)+IFERROR(INDEX(Settings!$C$2:$C$4,MATCH(K318,Settings!$A$2:$A$4,0)),0),2))</f>
        <v/>
      </c>
      <c r="S318" s="13" t="str">
        <f aca="false">IF(Q318="","",Q318-R318-N(I318))</f>
        <v/>
      </c>
      <c r="T318" s="14" t="str">
        <f aca="true">IF(N318="","",IF(P318&lt;&gt;"",P318-N318,TODAY()-N318))</f>
        <v/>
      </c>
      <c r="U318" s="10"/>
      <c r="V318" s="14" t="str">
        <f aca="true">IF(AND(L318="Listed",N318&lt;&gt;"",P318=""),IF(TODAY()-N318&gt;=Settings!$B$6,"STALE",""),"")</f>
        <v/>
      </c>
    </row>
    <row r="319" customFormat="false" ht="15" hidden="false" customHeight="false" outlineLevel="0" collapsed="false">
      <c r="A319" s="10"/>
      <c r="B319" s="10"/>
      <c r="C319" s="10"/>
      <c r="D319" s="10"/>
      <c r="E319" s="10"/>
      <c r="F319" s="10"/>
      <c r="G319" s="10"/>
      <c r="H319" s="10"/>
      <c r="I319" s="11"/>
      <c r="J319" s="10"/>
      <c r="K319" s="10"/>
      <c r="L319" s="10"/>
      <c r="M319" s="12"/>
      <c r="N319" s="12"/>
      <c r="O319" s="11"/>
      <c r="P319" s="12"/>
      <c r="Q319" s="11"/>
      <c r="R319" s="13" t="str">
        <f aca="false">IF(Q319="","",ROUND(Q319*IFERROR(INDEX(Settings!$B$2:$B$4,MATCH(K319,Settings!$A$2:$A$4,0)),0)+IFERROR(INDEX(Settings!$C$2:$C$4,MATCH(K319,Settings!$A$2:$A$4,0)),0),2))</f>
        <v/>
      </c>
      <c r="S319" s="13" t="str">
        <f aca="false">IF(Q319="","",Q319-R319-N(I319))</f>
        <v/>
      </c>
      <c r="T319" s="14" t="str">
        <f aca="true">IF(N319="","",IF(P319&lt;&gt;"",P319-N319,TODAY()-N319))</f>
        <v/>
      </c>
      <c r="U319" s="10"/>
      <c r="V319" s="14" t="str">
        <f aca="true">IF(AND(L319="Listed",N319&lt;&gt;"",P319=""),IF(TODAY()-N319&gt;=Settings!$B$6,"STALE",""),"")</f>
        <v/>
      </c>
    </row>
    <row r="320" customFormat="false" ht="15" hidden="false" customHeight="false" outlineLevel="0" collapsed="false">
      <c r="A320" s="10"/>
      <c r="B320" s="10"/>
      <c r="C320" s="10"/>
      <c r="D320" s="10"/>
      <c r="E320" s="10"/>
      <c r="F320" s="10"/>
      <c r="G320" s="10"/>
      <c r="H320" s="10"/>
      <c r="I320" s="11"/>
      <c r="J320" s="10"/>
      <c r="K320" s="10"/>
      <c r="L320" s="10"/>
      <c r="M320" s="12"/>
      <c r="N320" s="12"/>
      <c r="O320" s="11"/>
      <c r="P320" s="12"/>
      <c r="Q320" s="11"/>
      <c r="R320" s="13" t="str">
        <f aca="false">IF(Q320="","",ROUND(Q320*IFERROR(INDEX(Settings!$B$2:$B$4,MATCH(K320,Settings!$A$2:$A$4,0)),0)+IFERROR(INDEX(Settings!$C$2:$C$4,MATCH(K320,Settings!$A$2:$A$4,0)),0),2))</f>
        <v/>
      </c>
      <c r="S320" s="13" t="str">
        <f aca="false">IF(Q320="","",Q320-R320-N(I320))</f>
        <v/>
      </c>
      <c r="T320" s="14" t="str">
        <f aca="true">IF(N320="","",IF(P320&lt;&gt;"",P320-N320,TODAY()-N320))</f>
        <v/>
      </c>
      <c r="U320" s="10"/>
      <c r="V320" s="14" t="str">
        <f aca="true">IF(AND(L320="Listed",N320&lt;&gt;"",P320=""),IF(TODAY()-N320&gt;=Settings!$B$6,"STALE",""),"")</f>
        <v/>
      </c>
    </row>
    <row r="321" customFormat="false" ht="15" hidden="false" customHeight="false" outlineLevel="0" collapsed="false">
      <c r="A321" s="10"/>
      <c r="B321" s="10"/>
      <c r="C321" s="10"/>
      <c r="D321" s="10"/>
      <c r="E321" s="10"/>
      <c r="F321" s="10"/>
      <c r="G321" s="10"/>
      <c r="H321" s="10"/>
      <c r="I321" s="11"/>
      <c r="J321" s="10"/>
      <c r="K321" s="10"/>
      <c r="L321" s="10"/>
      <c r="M321" s="12"/>
      <c r="N321" s="12"/>
      <c r="O321" s="11"/>
      <c r="P321" s="12"/>
      <c r="Q321" s="11"/>
      <c r="R321" s="13" t="str">
        <f aca="false">IF(Q321="","",ROUND(Q321*IFERROR(INDEX(Settings!$B$2:$B$4,MATCH(K321,Settings!$A$2:$A$4,0)),0)+IFERROR(INDEX(Settings!$C$2:$C$4,MATCH(K321,Settings!$A$2:$A$4,0)),0),2))</f>
        <v/>
      </c>
      <c r="S321" s="13" t="str">
        <f aca="false">IF(Q321="","",Q321-R321-N(I321))</f>
        <v/>
      </c>
      <c r="T321" s="14" t="str">
        <f aca="true">IF(N321="","",IF(P321&lt;&gt;"",P321-N321,TODAY()-N321))</f>
        <v/>
      </c>
      <c r="U321" s="10"/>
      <c r="V321" s="14" t="str">
        <f aca="true">IF(AND(L321="Listed",N321&lt;&gt;"",P321=""),IF(TODAY()-N321&gt;=Settings!$B$6,"STALE",""),"")</f>
        <v/>
      </c>
    </row>
    <row r="322" customFormat="false" ht="15" hidden="false" customHeight="false" outlineLevel="0" collapsed="false">
      <c r="A322" s="10"/>
      <c r="B322" s="10"/>
      <c r="C322" s="10"/>
      <c r="D322" s="10"/>
      <c r="E322" s="10"/>
      <c r="F322" s="10"/>
      <c r="G322" s="10"/>
      <c r="H322" s="10"/>
      <c r="I322" s="11"/>
      <c r="J322" s="10"/>
      <c r="K322" s="10"/>
      <c r="L322" s="10"/>
      <c r="M322" s="12"/>
      <c r="N322" s="12"/>
      <c r="O322" s="11"/>
      <c r="P322" s="12"/>
      <c r="Q322" s="11"/>
      <c r="R322" s="13" t="str">
        <f aca="false">IF(Q322="","",ROUND(Q322*IFERROR(INDEX(Settings!$B$2:$B$4,MATCH(K322,Settings!$A$2:$A$4,0)),0)+IFERROR(INDEX(Settings!$C$2:$C$4,MATCH(K322,Settings!$A$2:$A$4,0)),0),2))</f>
        <v/>
      </c>
      <c r="S322" s="13" t="str">
        <f aca="false">IF(Q322="","",Q322-R322-N(I322))</f>
        <v/>
      </c>
      <c r="T322" s="14" t="str">
        <f aca="true">IF(N322="","",IF(P322&lt;&gt;"",P322-N322,TODAY()-N322))</f>
        <v/>
      </c>
      <c r="U322" s="10"/>
      <c r="V322" s="14" t="str">
        <f aca="true">IF(AND(L322="Listed",N322&lt;&gt;"",P322=""),IF(TODAY()-N322&gt;=Settings!$B$6,"STALE",""),"")</f>
        <v/>
      </c>
    </row>
    <row r="323" customFormat="false" ht="15" hidden="false" customHeight="false" outlineLevel="0" collapsed="false">
      <c r="A323" s="10"/>
      <c r="B323" s="10"/>
      <c r="C323" s="10"/>
      <c r="D323" s="10"/>
      <c r="E323" s="10"/>
      <c r="F323" s="10"/>
      <c r="G323" s="10"/>
      <c r="H323" s="10"/>
      <c r="I323" s="11"/>
      <c r="J323" s="10"/>
      <c r="K323" s="10"/>
      <c r="L323" s="10"/>
      <c r="M323" s="12"/>
      <c r="N323" s="12"/>
      <c r="O323" s="11"/>
      <c r="P323" s="12"/>
      <c r="Q323" s="11"/>
      <c r="R323" s="13" t="str">
        <f aca="false">IF(Q323="","",ROUND(Q323*IFERROR(INDEX(Settings!$B$2:$B$4,MATCH(K323,Settings!$A$2:$A$4,0)),0)+IFERROR(INDEX(Settings!$C$2:$C$4,MATCH(K323,Settings!$A$2:$A$4,0)),0),2))</f>
        <v/>
      </c>
      <c r="S323" s="13" t="str">
        <f aca="false">IF(Q323="","",Q323-R323-N(I323))</f>
        <v/>
      </c>
      <c r="T323" s="14" t="str">
        <f aca="true">IF(N323="","",IF(P323&lt;&gt;"",P323-N323,TODAY()-N323))</f>
        <v/>
      </c>
      <c r="U323" s="10"/>
      <c r="V323" s="14" t="str">
        <f aca="true">IF(AND(L323="Listed",N323&lt;&gt;"",P323=""),IF(TODAY()-N323&gt;=Settings!$B$6,"STALE",""),"")</f>
        <v/>
      </c>
    </row>
    <row r="324" customFormat="false" ht="15" hidden="false" customHeight="false" outlineLevel="0" collapsed="false">
      <c r="A324" s="10"/>
      <c r="B324" s="10"/>
      <c r="C324" s="10"/>
      <c r="D324" s="10"/>
      <c r="E324" s="10"/>
      <c r="F324" s="10"/>
      <c r="G324" s="10"/>
      <c r="H324" s="10"/>
      <c r="I324" s="11"/>
      <c r="J324" s="10"/>
      <c r="K324" s="10"/>
      <c r="L324" s="10"/>
      <c r="M324" s="12"/>
      <c r="N324" s="12"/>
      <c r="O324" s="11"/>
      <c r="P324" s="12"/>
      <c r="Q324" s="11"/>
      <c r="R324" s="13" t="str">
        <f aca="false">IF(Q324="","",ROUND(Q324*IFERROR(INDEX(Settings!$B$2:$B$4,MATCH(K324,Settings!$A$2:$A$4,0)),0)+IFERROR(INDEX(Settings!$C$2:$C$4,MATCH(K324,Settings!$A$2:$A$4,0)),0),2))</f>
        <v/>
      </c>
      <c r="S324" s="13" t="str">
        <f aca="false">IF(Q324="","",Q324-R324-N(I324))</f>
        <v/>
      </c>
      <c r="T324" s="14" t="str">
        <f aca="true">IF(N324="","",IF(P324&lt;&gt;"",P324-N324,TODAY()-N324))</f>
        <v/>
      </c>
      <c r="U324" s="10"/>
      <c r="V324" s="14" t="str">
        <f aca="true">IF(AND(L324="Listed",N324&lt;&gt;"",P324=""),IF(TODAY()-N324&gt;=Settings!$B$6,"STALE",""),"")</f>
        <v/>
      </c>
    </row>
    <row r="325" customFormat="false" ht="15" hidden="false" customHeight="false" outlineLevel="0" collapsed="false">
      <c r="A325" s="10"/>
      <c r="B325" s="10"/>
      <c r="C325" s="10"/>
      <c r="D325" s="10"/>
      <c r="E325" s="10"/>
      <c r="F325" s="10"/>
      <c r="G325" s="10"/>
      <c r="H325" s="10"/>
      <c r="I325" s="11"/>
      <c r="J325" s="10"/>
      <c r="K325" s="10"/>
      <c r="L325" s="10"/>
      <c r="M325" s="12"/>
      <c r="N325" s="12"/>
      <c r="O325" s="11"/>
      <c r="P325" s="12"/>
      <c r="Q325" s="11"/>
      <c r="R325" s="13" t="str">
        <f aca="false">IF(Q325="","",ROUND(Q325*IFERROR(INDEX(Settings!$B$2:$B$4,MATCH(K325,Settings!$A$2:$A$4,0)),0)+IFERROR(INDEX(Settings!$C$2:$C$4,MATCH(K325,Settings!$A$2:$A$4,0)),0),2))</f>
        <v/>
      </c>
      <c r="S325" s="13" t="str">
        <f aca="false">IF(Q325="","",Q325-R325-N(I325))</f>
        <v/>
      </c>
      <c r="T325" s="14" t="str">
        <f aca="true">IF(N325="","",IF(P325&lt;&gt;"",P325-N325,TODAY()-N325))</f>
        <v/>
      </c>
      <c r="U325" s="10"/>
      <c r="V325" s="14" t="str">
        <f aca="true">IF(AND(L325="Listed",N325&lt;&gt;"",P325=""),IF(TODAY()-N325&gt;=Settings!$B$6,"STALE",""),"")</f>
        <v/>
      </c>
    </row>
    <row r="326" customFormat="false" ht="15" hidden="false" customHeight="false" outlineLevel="0" collapsed="false">
      <c r="A326" s="10"/>
      <c r="B326" s="10"/>
      <c r="C326" s="10"/>
      <c r="D326" s="10"/>
      <c r="E326" s="10"/>
      <c r="F326" s="10"/>
      <c r="G326" s="10"/>
      <c r="H326" s="10"/>
      <c r="I326" s="11"/>
      <c r="J326" s="10"/>
      <c r="K326" s="10"/>
      <c r="L326" s="10"/>
      <c r="M326" s="12"/>
      <c r="N326" s="12"/>
      <c r="O326" s="11"/>
      <c r="P326" s="12"/>
      <c r="Q326" s="11"/>
      <c r="R326" s="13" t="str">
        <f aca="false">IF(Q326="","",ROUND(Q326*IFERROR(INDEX(Settings!$B$2:$B$4,MATCH(K326,Settings!$A$2:$A$4,0)),0)+IFERROR(INDEX(Settings!$C$2:$C$4,MATCH(K326,Settings!$A$2:$A$4,0)),0),2))</f>
        <v/>
      </c>
      <c r="S326" s="13" t="str">
        <f aca="false">IF(Q326="","",Q326-R326-N(I326))</f>
        <v/>
      </c>
      <c r="T326" s="14" t="str">
        <f aca="true">IF(N326="","",IF(P326&lt;&gt;"",P326-N326,TODAY()-N326))</f>
        <v/>
      </c>
      <c r="U326" s="10"/>
      <c r="V326" s="14" t="str">
        <f aca="true">IF(AND(L326="Listed",N326&lt;&gt;"",P326=""),IF(TODAY()-N326&gt;=Settings!$B$6,"STALE",""),"")</f>
        <v/>
      </c>
    </row>
    <row r="327" customFormat="false" ht="15" hidden="false" customHeight="false" outlineLevel="0" collapsed="false">
      <c r="A327" s="10"/>
      <c r="B327" s="10"/>
      <c r="C327" s="10"/>
      <c r="D327" s="10"/>
      <c r="E327" s="10"/>
      <c r="F327" s="10"/>
      <c r="G327" s="10"/>
      <c r="H327" s="10"/>
      <c r="I327" s="11"/>
      <c r="J327" s="10"/>
      <c r="K327" s="10"/>
      <c r="L327" s="10"/>
      <c r="M327" s="12"/>
      <c r="N327" s="12"/>
      <c r="O327" s="11"/>
      <c r="P327" s="12"/>
      <c r="Q327" s="11"/>
      <c r="R327" s="13" t="str">
        <f aca="false">IF(Q327="","",ROUND(Q327*IFERROR(INDEX(Settings!$B$2:$B$4,MATCH(K327,Settings!$A$2:$A$4,0)),0)+IFERROR(INDEX(Settings!$C$2:$C$4,MATCH(K327,Settings!$A$2:$A$4,0)),0),2))</f>
        <v/>
      </c>
      <c r="S327" s="13" t="str">
        <f aca="false">IF(Q327="","",Q327-R327-N(I327))</f>
        <v/>
      </c>
      <c r="T327" s="14" t="str">
        <f aca="true">IF(N327="","",IF(P327&lt;&gt;"",P327-N327,TODAY()-N327))</f>
        <v/>
      </c>
      <c r="U327" s="10"/>
      <c r="V327" s="14" t="str">
        <f aca="true">IF(AND(L327="Listed",N327&lt;&gt;"",P327=""),IF(TODAY()-N327&gt;=Settings!$B$6,"STALE",""),"")</f>
        <v/>
      </c>
    </row>
    <row r="328" customFormat="false" ht="15" hidden="false" customHeight="false" outlineLevel="0" collapsed="false">
      <c r="A328" s="10"/>
      <c r="B328" s="10"/>
      <c r="C328" s="10"/>
      <c r="D328" s="10"/>
      <c r="E328" s="10"/>
      <c r="F328" s="10"/>
      <c r="G328" s="10"/>
      <c r="H328" s="10"/>
      <c r="I328" s="11"/>
      <c r="J328" s="10"/>
      <c r="K328" s="10"/>
      <c r="L328" s="10"/>
      <c r="M328" s="12"/>
      <c r="N328" s="12"/>
      <c r="O328" s="11"/>
      <c r="P328" s="12"/>
      <c r="Q328" s="11"/>
      <c r="R328" s="13" t="str">
        <f aca="false">IF(Q328="","",ROUND(Q328*IFERROR(INDEX(Settings!$B$2:$B$4,MATCH(K328,Settings!$A$2:$A$4,0)),0)+IFERROR(INDEX(Settings!$C$2:$C$4,MATCH(K328,Settings!$A$2:$A$4,0)),0),2))</f>
        <v/>
      </c>
      <c r="S328" s="13" t="str">
        <f aca="false">IF(Q328="","",Q328-R328-N(I328))</f>
        <v/>
      </c>
      <c r="T328" s="14" t="str">
        <f aca="true">IF(N328="","",IF(P328&lt;&gt;"",P328-N328,TODAY()-N328))</f>
        <v/>
      </c>
      <c r="U328" s="10"/>
      <c r="V328" s="14" t="str">
        <f aca="true">IF(AND(L328="Listed",N328&lt;&gt;"",P328=""),IF(TODAY()-N328&gt;=Settings!$B$6,"STALE",""),"")</f>
        <v/>
      </c>
    </row>
    <row r="329" customFormat="false" ht="15" hidden="false" customHeight="false" outlineLevel="0" collapsed="false">
      <c r="A329" s="10"/>
      <c r="B329" s="10"/>
      <c r="C329" s="10"/>
      <c r="D329" s="10"/>
      <c r="E329" s="10"/>
      <c r="F329" s="10"/>
      <c r="G329" s="10"/>
      <c r="H329" s="10"/>
      <c r="I329" s="11"/>
      <c r="J329" s="10"/>
      <c r="K329" s="10"/>
      <c r="L329" s="10"/>
      <c r="M329" s="12"/>
      <c r="N329" s="12"/>
      <c r="O329" s="11"/>
      <c r="P329" s="12"/>
      <c r="Q329" s="11"/>
      <c r="R329" s="13" t="str">
        <f aca="false">IF(Q329="","",ROUND(Q329*IFERROR(INDEX(Settings!$B$2:$B$4,MATCH(K329,Settings!$A$2:$A$4,0)),0)+IFERROR(INDEX(Settings!$C$2:$C$4,MATCH(K329,Settings!$A$2:$A$4,0)),0),2))</f>
        <v/>
      </c>
      <c r="S329" s="13" t="str">
        <f aca="false">IF(Q329="","",Q329-R329-N(I329))</f>
        <v/>
      </c>
      <c r="T329" s="14" t="str">
        <f aca="true">IF(N329="","",IF(P329&lt;&gt;"",P329-N329,TODAY()-N329))</f>
        <v/>
      </c>
      <c r="U329" s="10"/>
      <c r="V329" s="14" t="str">
        <f aca="true">IF(AND(L329="Listed",N329&lt;&gt;"",P329=""),IF(TODAY()-N329&gt;=Settings!$B$6,"STALE",""),"")</f>
        <v/>
      </c>
    </row>
    <row r="330" customFormat="false" ht="15" hidden="false" customHeight="false" outlineLevel="0" collapsed="false">
      <c r="A330" s="10"/>
      <c r="B330" s="10"/>
      <c r="C330" s="10"/>
      <c r="D330" s="10"/>
      <c r="E330" s="10"/>
      <c r="F330" s="10"/>
      <c r="G330" s="10"/>
      <c r="H330" s="10"/>
      <c r="I330" s="11"/>
      <c r="J330" s="10"/>
      <c r="K330" s="10"/>
      <c r="L330" s="10"/>
      <c r="M330" s="12"/>
      <c r="N330" s="12"/>
      <c r="O330" s="11"/>
      <c r="P330" s="12"/>
      <c r="Q330" s="11"/>
      <c r="R330" s="13" t="str">
        <f aca="false">IF(Q330="","",ROUND(Q330*IFERROR(INDEX(Settings!$B$2:$B$4,MATCH(K330,Settings!$A$2:$A$4,0)),0)+IFERROR(INDEX(Settings!$C$2:$C$4,MATCH(K330,Settings!$A$2:$A$4,0)),0),2))</f>
        <v/>
      </c>
      <c r="S330" s="13" t="str">
        <f aca="false">IF(Q330="","",Q330-R330-N(I330))</f>
        <v/>
      </c>
      <c r="T330" s="14" t="str">
        <f aca="true">IF(N330="","",IF(P330&lt;&gt;"",P330-N330,TODAY()-N330))</f>
        <v/>
      </c>
      <c r="U330" s="10"/>
      <c r="V330" s="14" t="str">
        <f aca="true">IF(AND(L330="Listed",N330&lt;&gt;"",P330=""),IF(TODAY()-N330&gt;=Settings!$B$6,"STALE",""),"")</f>
        <v/>
      </c>
    </row>
    <row r="331" customFormat="false" ht="15" hidden="false" customHeight="false" outlineLevel="0" collapsed="false">
      <c r="A331" s="10"/>
      <c r="B331" s="10"/>
      <c r="C331" s="10"/>
      <c r="D331" s="10"/>
      <c r="E331" s="10"/>
      <c r="F331" s="10"/>
      <c r="G331" s="10"/>
      <c r="H331" s="10"/>
      <c r="I331" s="11"/>
      <c r="J331" s="10"/>
      <c r="K331" s="10"/>
      <c r="L331" s="10"/>
      <c r="M331" s="12"/>
      <c r="N331" s="12"/>
      <c r="O331" s="11"/>
      <c r="P331" s="12"/>
      <c r="Q331" s="11"/>
      <c r="R331" s="13" t="str">
        <f aca="false">IF(Q331="","",ROUND(Q331*IFERROR(INDEX(Settings!$B$2:$B$4,MATCH(K331,Settings!$A$2:$A$4,0)),0)+IFERROR(INDEX(Settings!$C$2:$C$4,MATCH(K331,Settings!$A$2:$A$4,0)),0),2))</f>
        <v/>
      </c>
      <c r="S331" s="13" t="str">
        <f aca="false">IF(Q331="","",Q331-R331-N(I331))</f>
        <v/>
      </c>
      <c r="T331" s="14" t="str">
        <f aca="true">IF(N331="","",IF(P331&lt;&gt;"",P331-N331,TODAY()-N331))</f>
        <v/>
      </c>
      <c r="U331" s="10"/>
      <c r="V331" s="14" t="str">
        <f aca="true">IF(AND(L331="Listed",N331&lt;&gt;"",P331=""),IF(TODAY()-N331&gt;=Settings!$B$6,"STALE",""),"")</f>
        <v/>
      </c>
    </row>
    <row r="332" customFormat="false" ht="15" hidden="false" customHeight="false" outlineLevel="0" collapsed="false">
      <c r="A332" s="10"/>
      <c r="B332" s="10"/>
      <c r="C332" s="10"/>
      <c r="D332" s="10"/>
      <c r="E332" s="10"/>
      <c r="F332" s="10"/>
      <c r="G332" s="10"/>
      <c r="H332" s="10"/>
      <c r="I332" s="11"/>
      <c r="J332" s="10"/>
      <c r="K332" s="10"/>
      <c r="L332" s="10"/>
      <c r="M332" s="12"/>
      <c r="N332" s="12"/>
      <c r="O332" s="11"/>
      <c r="P332" s="12"/>
      <c r="Q332" s="11"/>
      <c r="R332" s="13" t="str">
        <f aca="false">IF(Q332="","",ROUND(Q332*IFERROR(INDEX(Settings!$B$2:$B$4,MATCH(K332,Settings!$A$2:$A$4,0)),0)+IFERROR(INDEX(Settings!$C$2:$C$4,MATCH(K332,Settings!$A$2:$A$4,0)),0),2))</f>
        <v/>
      </c>
      <c r="S332" s="13" t="str">
        <f aca="false">IF(Q332="","",Q332-R332-N(I332))</f>
        <v/>
      </c>
      <c r="T332" s="14" t="str">
        <f aca="true">IF(N332="","",IF(P332&lt;&gt;"",P332-N332,TODAY()-N332))</f>
        <v/>
      </c>
      <c r="U332" s="10"/>
      <c r="V332" s="14" t="str">
        <f aca="true">IF(AND(L332="Listed",N332&lt;&gt;"",P332=""),IF(TODAY()-N332&gt;=Settings!$B$6,"STALE",""),"")</f>
        <v/>
      </c>
    </row>
    <row r="333" customFormat="false" ht="15" hidden="false" customHeight="false" outlineLevel="0" collapsed="false">
      <c r="A333" s="10"/>
      <c r="B333" s="10"/>
      <c r="C333" s="10"/>
      <c r="D333" s="10"/>
      <c r="E333" s="10"/>
      <c r="F333" s="10"/>
      <c r="G333" s="10"/>
      <c r="H333" s="10"/>
      <c r="I333" s="11"/>
      <c r="J333" s="10"/>
      <c r="K333" s="10"/>
      <c r="L333" s="10"/>
      <c r="M333" s="12"/>
      <c r="N333" s="12"/>
      <c r="O333" s="11"/>
      <c r="P333" s="12"/>
      <c r="Q333" s="11"/>
      <c r="R333" s="13" t="str">
        <f aca="false">IF(Q333="","",ROUND(Q333*IFERROR(INDEX(Settings!$B$2:$B$4,MATCH(K333,Settings!$A$2:$A$4,0)),0)+IFERROR(INDEX(Settings!$C$2:$C$4,MATCH(K333,Settings!$A$2:$A$4,0)),0),2))</f>
        <v/>
      </c>
      <c r="S333" s="13" t="str">
        <f aca="false">IF(Q333="","",Q333-R333-N(I333))</f>
        <v/>
      </c>
      <c r="T333" s="14" t="str">
        <f aca="true">IF(N333="","",IF(P333&lt;&gt;"",P333-N333,TODAY()-N333))</f>
        <v/>
      </c>
      <c r="U333" s="10"/>
      <c r="V333" s="14" t="str">
        <f aca="true">IF(AND(L333="Listed",N333&lt;&gt;"",P333=""),IF(TODAY()-N333&gt;=Settings!$B$6,"STALE",""),"")</f>
        <v/>
      </c>
    </row>
    <row r="334" customFormat="false" ht="15" hidden="false" customHeight="false" outlineLevel="0" collapsed="false">
      <c r="A334" s="10"/>
      <c r="B334" s="10"/>
      <c r="C334" s="10"/>
      <c r="D334" s="10"/>
      <c r="E334" s="10"/>
      <c r="F334" s="10"/>
      <c r="G334" s="10"/>
      <c r="H334" s="10"/>
      <c r="I334" s="11"/>
      <c r="J334" s="10"/>
      <c r="K334" s="10"/>
      <c r="L334" s="10"/>
      <c r="M334" s="12"/>
      <c r="N334" s="12"/>
      <c r="O334" s="11"/>
      <c r="P334" s="12"/>
      <c r="Q334" s="11"/>
      <c r="R334" s="13" t="str">
        <f aca="false">IF(Q334="","",ROUND(Q334*IFERROR(INDEX(Settings!$B$2:$B$4,MATCH(K334,Settings!$A$2:$A$4,0)),0)+IFERROR(INDEX(Settings!$C$2:$C$4,MATCH(K334,Settings!$A$2:$A$4,0)),0),2))</f>
        <v/>
      </c>
      <c r="S334" s="13" t="str">
        <f aca="false">IF(Q334="","",Q334-R334-N(I334))</f>
        <v/>
      </c>
      <c r="T334" s="14" t="str">
        <f aca="true">IF(N334="","",IF(P334&lt;&gt;"",P334-N334,TODAY()-N334))</f>
        <v/>
      </c>
      <c r="U334" s="10"/>
      <c r="V334" s="14" t="str">
        <f aca="true">IF(AND(L334="Listed",N334&lt;&gt;"",P334=""),IF(TODAY()-N334&gt;=Settings!$B$6,"STALE",""),"")</f>
        <v/>
      </c>
    </row>
    <row r="335" customFormat="false" ht="15" hidden="false" customHeight="false" outlineLevel="0" collapsed="false">
      <c r="A335" s="10"/>
      <c r="B335" s="10"/>
      <c r="C335" s="10"/>
      <c r="D335" s="10"/>
      <c r="E335" s="10"/>
      <c r="F335" s="10"/>
      <c r="G335" s="10"/>
      <c r="H335" s="10"/>
      <c r="I335" s="11"/>
      <c r="J335" s="10"/>
      <c r="K335" s="10"/>
      <c r="L335" s="10"/>
      <c r="M335" s="12"/>
      <c r="N335" s="12"/>
      <c r="O335" s="11"/>
      <c r="P335" s="12"/>
      <c r="Q335" s="11"/>
      <c r="R335" s="13" t="str">
        <f aca="false">IF(Q335="","",ROUND(Q335*IFERROR(INDEX(Settings!$B$2:$B$4,MATCH(K335,Settings!$A$2:$A$4,0)),0)+IFERROR(INDEX(Settings!$C$2:$C$4,MATCH(K335,Settings!$A$2:$A$4,0)),0),2))</f>
        <v/>
      </c>
      <c r="S335" s="13" t="str">
        <f aca="false">IF(Q335="","",Q335-R335-N(I335))</f>
        <v/>
      </c>
      <c r="T335" s="14" t="str">
        <f aca="true">IF(N335="","",IF(P335&lt;&gt;"",P335-N335,TODAY()-N335))</f>
        <v/>
      </c>
      <c r="U335" s="10"/>
      <c r="V335" s="14" t="str">
        <f aca="true">IF(AND(L335="Listed",N335&lt;&gt;"",P335=""),IF(TODAY()-N335&gt;=Settings!$B$6,"STALE",""),"")</f>
        <v/>
      </c>
    </row>
    <row r="336" customFormat="false" ht="15" hidden="false" customHeight="false" outlineLevel="0" collapsed="false">
      <c r="A336" s="10"/>
      <c r="B336" s="10"/>
      <c r="C336" s="10"/>
      <c r="D336" s="10"/>
      <c r="E336" s="10"/>
      <c r="F336" s="10"/>
      <c r="G336" s="10"/>
      <c r="H336" s="10"/>
      <c r="I336" s="11"/>
      <c r="J336" s="10"/>
      <c r="K336" s="10"/>
      <c r="L336" s="10"/>
      <c r="M336" s="12"/>
      <c r="N336" s="12"/>
      <c r="O336" s="11"/>
      <c r="P336" s="12"/>
      <c r="Q336" s="11"/>
      <c r="R336" s="13" t="str">
        <f aca="false">IF(Q336="","",ROUND(Q336*IFERROR(INDEX(Settings!$B$2:$B$4,MATCH(K336,Settings!$A$2:$A$4,0)),0)+IFERROR(INDEX(Settings!$C$2:$C$4,MATCH(K336,Settings!$A$2:$A$4,0)),0),2))</f>
        <v/>
      </c>
      <c r="S336" s="13" t="str">
        <f aca="false">IF(Q336="","",Q336-R336-N(I336))</f>
        <v/>
      </c>
      <c r="T336" s="14" t="str">
        <f aca="true">IF(N336="","",IF(P336&lt;&gt;"",P336-N336,TODAY()-N336))</f>
        <v/>
      </c>
      <c r="U336" s="10"/>
      <c r="V336" s="14" t="str">
        <f aca="true">IF(AND(L336="Listed",N336&lt;&gt;"",P336=""),IF(TODAY()-N336&gt;=Settings!$B$6,"STALE",""),"")</f>
        <v/>
      </c>
    </row>
    <row r="337" customFormat="false" ht="15" hidden="false" customHeight="false" outlineLevel="0" collapsed="false">
      <c r="A337" s="10"/>
      <c r="B337" s="10"/>
      <c r="C337" s="10"/>
      <c r="D337" s="10"/>
      <c r="E337" s="10"/>
      <c r="F337" s="10"/>
      <c r="G337" s="10"/>
      <c r="H337" s="10"/>
      <c r="I337" s="11"/>
      <c r="J337" s="10"/>
      <c r="K337" s="10"/>
      <c r="L337" s="10"/>
      <c r="M337" s="12"/>
      <c r="N337" s="12"/>
      <c r="O337" s="11"/>
      <c r="P337" s="12"/>
      <c r="Q337" s="11"/>
      <c r="R337" s="13" t="str">
        <f aca="false">IF(Q337="","",ROUND(Q337*IFERROR(INDEX(Settings!$B$2:$B$4,MATCH(K337,Settings!$A$2:$A$4,0)),0)+IFERROR(INDEX(Settings!$C$2:$C$4,MATCH(K337,Settings!$A$2:$A$4,0)),0),2))</f>
        <v/>
      </c>
      <c r="S337" s="13" t="str">
        <f aca="false">IF(Q337="","",Q337-R337-N(I337))</f>
        <v/>
      </c>
      <c r="T337" s="14" t="str">
        <f aca="true">IF(N337="","",IF(P337&lt;&gt;"",P337-N337,TODAY()-N337))</f>
        <v/>
      </c>
      <c r="U337" s="10"/>
      <c r="V337" s="14" t="str">
        <f aca="true">IF(AND(L337="Listed",N337&lt;&gt;"",P337=""),IF(TODAY()-N337&gt;=Settings!$B$6,"STALE",""),"")</f>
        <v/>
      </c>
    </row>
    <row r="338" customFormat="false" ht="15" hidden="false" customHeight="false" outlineLevel="0" collapsed="false">
      <c r="A338" s="10"/>
      <c r="B338" s="10"/>
      <c r="C338" s="10"/>
      <c r="D338" s="10"/>
      <c r="E338" s="10"/>
      <c r="F338" s="10"/>
      <c r="G338" s="10"/>
      <c r="H338" s="10"/>
      <c r="I338" s="11"/>
      <c r="J338" s="10"/>
      <c r="K338" s="10"/>
      <c r="L338" s="10"/>
      <c r="M338" s="12"/>
      <c r="N338" s="12"/>
      <c r="O338" s="11"/>
      <c r="P338" s="12"/>
      <c r="Q338" s="11"/>
      <c r="R338" s="13" t="str">
        <f aca="false">IF(Q338="","",ROUND(Q338*IFERROR(INDEX(Settings!$B$2:$B$4,MATCH(K338,Settings!$A$2:$A$4,0)),0)+IFERROR(INDEX(Settings!$C$2:$C$4,MATCH(K338,Settings!$A$2:$A$4,0)),0),2))</f>
        <v/>
      </c>
      <c r="S338" s="13" t="str">
        <f aca="false">IF(Q338="","",Q338-R338-N(I338))</f>
        <v/>
      </c>
      <c r="T338" s="14" t="str">
        <f aca="true">IF(N338="","",IF(P338&lt;&gt;"",P338-N338,TODAY()-N338))</f>
        <v/>
      </c>
      <c r="U338" s="10"/>
      <c r="V338" s="14" t="str">
        <f aca="true">IF(AND(L338="Listed",N338&lt;&gt;"",P338=""),IF(TODAY()-N338&gt;=Settings!$B$6,"STALE",""),"")</f>
        <v/>
      </c>
    </row>
    <row r="339" customFormat="false" ht="15" hidden="false" customHeight="false" outlineLevel="0" collapsed="false">
      <c r="A339" s="10"/>
      <c r="B339" s="10"/>
      <c r="C339" s="10"/>
      <c r="D339" s="10"/>
      <c r="E339" s="10"/>
      <c r="F339" s="10"/>
      <c r="G339" s="10"/>
      <c r="H339" s="10"/>
      <c r="I339" s="11"/>
      <c r="J339" s="10"/>
      <c r="K339" s="10"/>
      <c r="L339" s="10"/>
      <c r="M339" s="12"/>
      <c r="N339" s="12"/>
      <c r="O339" s="11"/>
      <c r="P339" s="12"/>
      <c r="Q339" s="11"/>
      <c r="R339" s="13" t="str">
        <f aca="false">IF(Q339="","",ROUND(Q339*IFERROR(INDEX(Settings!$B$2:$B$4,MATCH(K339,Settings!$A$2:$A$4,0)),0)+IFERROR(INDEX(Settings!$C$2:$C$4,MATCH(K339,Settings!$A$2:$A$4,0)),0),2))</f>
        <v/>
      </c>
      <c r="S339" s="13" t="str">
        <f aca="false">IF(Q339="","",Q339-R339-N(I339))</f>
        <v/>
      </c>
      <c r="T339" s="14" t="str">
        <f aca="true">IF(N339="","",IF(P339&lt;&gt;"",P339-N339,TODAY()-N339))</f>
        <v/>
      </c>
      <c r="U339" s="10"/>
      <c r="V339" s="14" t="str">
        <f aca="true">IF(AND(L339="Listed",N339&lt;&gt;"",P339=""),IF(TODAY()-N339&gt;=Settings!$B$6,"STALE",""),"")</f>
        <v/>
      </c>
    </row>
    <row r="340" customFormat="false" ht="15" hidden="false" customHeight="false" outlineLevel="0" collapsed="false">
      <c r="A340" s="10"/>
      <c r="B340" s="10"/>
      <c r="C340" s="10"/>
      <c r="D340" s="10"/>
      <c r="E340" s="10"/>
      <c r="F340" s="10"/>
      <c r="G340" s="10"/>
      <c r="H340" s="10"/>
      <c r="I340" s="11"/>
      <c r="J340" s="10"/>
      <c r="K340" s="10"/>
      <c r="L340" s="10"/>
      <c r="M340" s="12"/>
      <c r="N340" s="12"/>
      <c r="O340" s="11"/>
      <c r="P340" s="12"/>
      <c r="Q340" s="11"/>
      <c r="R340" s="13" t="str">
        <f aca="false">IF(Q340="","",ROUND(Q340*IFERROR(INDEX(Settings!$B$2:$B$4,MATCH(K340,Settings!$A$2:$A$4,0)),0)+IFERROR(INDEX(Settings!$C$2:$C$4,MATCH(K340,Settings!$A$2:$A$4,0)),0),2))</f>
        <v/>
      </c>
      <c r="S340" s="13" t="str">
        <f aca="false">IF(Q340="","",Q340-R340-N(I340))</f>
        <v/>
      </c>
      <c r="T340" s="14" t="str">
        <f aca="true">IF(N340="","",IF(P340&lt;&gt;"",P340-N340,TODAY()-N340))</f>
        <v/>
      </c>
      <c r="U340" s="10"/>
      <c r="V340" s="14" t="str">
        <f aca="true">IF(AND(L340="Listed",N340&lt;&gt;"",P340=""),IF(TODAY()-N340&gt;=Settings!$B$6,"STALE",""),"")</f>
        <v/>
      </c>
    </row>
    <row r="341" customFormat="false" ht="15" hidden="false" customHeight="false" outlineLevel="0" collapsed="false">
      <c r="A341" s="10"/>
      <c r="B341" s="10"/>
      <c r="C341" s="10"/>
      <c r="D341" s="10"/>
      <c r="E341" s="10"/>
      <c r="F341" s="10"/>
      <c r="G341" s="10"/>
      <c r="H341" s="10"/>
      <c r="I341" s="11"/>
      <c r="J341" s="10"/>
      <c r="K341" s="10"/>
      <c r="L341" s="10"/>
      <c r="M341" s="12"/>
      <c r="N341" s="12"/>
      <c r="O341" s="11"/>
      <c r="P341" s="12"/>
      <c r="Q341" s="11"/>
      <c r="R341" s="13" t="str">
        <f aca="false">IF(Q341="","",ROUND(Q341*IFERROR(INDEX(Settings!$B$2:$B$4,MATCH(K341,Settings!$A$2:$A$4,0)),0)+IFERROR(INDEX(Settings!$C$2:$C$4,MATCH(K341,Settings!$A$2:$A$4,0)),0),2))</f>
        <v/>
      </c>
      <c r="S341" s="13" t="str">
        <f aca="false">IF(Q341="","",Q341-R341-N(I341))</f>
        <v/>
      </c>
      <c r="T341" s="14" t="str">
        <f aca="true">IF(N341="","",IF(P341&lt;&gt;"",P341-N341,TODAY()-N341))</f>
        <v/>
      </c>
      <c r="U341" s="10"/>
      <c r="V341" s="14" t="str">
        <f aca="true">IF(AND(L341="Listed",N341&lt;&gt;"",P341=""),IF(TODAY()-N341&gt;=Settings!$B$6,"STALE",""),"")</f>
        <v/>
      </c>
    </row>
    <row r="342" customFormat="false" ht="15" hidden="false" customHeight="false" outlineLevel="0" collapsed="false">
      <c r="A342" s="10"/>
      <c r="B342" s="10"/>
      <c r="C342" s="10"/>
      <c r="D342" s="10"/>
      <c r="E342" s="10"/>
      <c r="F342" s="10"/>
      <c r="G342" s="10"/>
      <c r="H342" s="10"/>
      <c r="I342" s="11"/>
      <c r="J342" s="10"/>
      <c r="K342" s="10"/>
      <c r="L342" s="10"/>
      <c r="M342" s="12"/>
      <c r="N342" s="12"/>
      <c r="O342" s="11"/>
      <c r="P342" s="12"/>
      <c r="Q342" s="11"/>
      <c r="R342" s="13" t="str">
        <f aca="false">IF(Q342="","",ROUND(Q342*IFERROR(INDEX(Settings!$B$2:$B$4,MATCH(K342,Settings!$A$2:$A$4,0)),0)+IFERROR(INDEX(Settings!$C$2:$C$4,MATCH(K342,Settings!$A$2:$A$4,0)),0),2))</f>
        <v/>
      </c>
      <c r="S342" s="13" t="str">
        <f aca="false">IF(Q342="","",Q342-R342-N(I342))</f>
        <v/>
      </c>
      <c r="T342" s="14" t="str">
        <f aca="true">IF(N342="","",IF(P342&lt;&gt;"",P342-N342,TODAY()-N342))</f>
        <v/>
      </c>
      <c r="U342" s="10"/>
      <c r="V342" s="14" t="str">
        <f aca="true">IF(AND(L342="Listed",N342&lt;&gt;"",P342=""),IF(TODAY()-N342&gt;=Settings!$B$6,"STALE",""),"")</f>
        <v/>
      </c>
    </row>
    <row r="343" customFormat="false" ht="15" hidden="false" customHeight="false" outlineLevel="0" collapsed="false">
      <c r="A343" s="10"/>
      <c r="B343" s="10"/>
      <c r="C343" s="10"/>
      <c r="D343" s="10"/>
      <c r="E343" s="10"/>
      <c r="F343" s="10"/>
      <c r="G343" s="10"/>
      <c r="H343" s="10"/>
      <c r="I343" s="11"/>
      <c r="J343" s="10"/>
      <c r="K343" s="10"/>
      <c r="L343" s="10"/>
      <c r="M343" s="12"/>
      <c r="N343" s="12"/>
      <c r="O343" s="11"/>
      <c r="P343" s="12"/>
      <c r="Q343" s="11"/>
      <c r="R343" s="13" t="str">
        <f aca="false">IF(Q343="","",ROUND(Q343*IFERROR(INDEX(Settings!$B$2:$B$4,MATCH(K343,Settings!$A$2:$A$4,0)),0)+IFERROR(INDEX(Settings!$C$2:$C$4,MATCH(K343,Settings!$A$2:$A$4,0)),0),2))</f>
        <v/>
      </c>
      <c r="S343" s="13" t="str">
        <f aca="false">IF(Q343="","",Q343-R343-N(I343))</f>
        <v/>
      </c>
      <c r="T343" s="14" t="str">
        <f aca="true">IF(N343="","",IF(P343&lt;&gt;"",P343-N343,TODAY()-N343))</f>
        <v/>
      </c>
      <c r="U343" s="10"/>
      <c r="V343" s="14" t="str">
        <f aca="true">IF(AND(L343="Listed",N343&lt;&gt;"",P343=""),IF(TODAY()-N343&gt;=Settings!$B$6,"STALE",""),"")</f>
        <v/>
      </c>
    </row>
    <row r="344" customFormat="false" ht="15" hidden="false" customHeight="false" outlineLevel="0" collapsed="false">
      <c r="A344" s="10"/>
      <c r="B344" s="10"/>
      <c r="C344" s="10"/>
      <c r="D344" s="10"/>
      <c r="E344" s="10"/>
      <c r="F344" s="10"/>
      <c r="G344" s="10"/>
      <c r="H344" s="10"/>
      <c r="I344" s="11"/>
      <c r="J344" s="10"/>
      <c r="K344" s="10"/>
      <c r="L344" s="10"/>
      <c r="M344" s="12"/>
      <c r="N344" s="12"/>
      <c r="O344" s="11"/>
      <c r="P344" s="12"/>
      <c r="Q344" s="11"/>
      <c r="R344" s="13" t="str">
        <f aca="false">IF(Q344="","",ROUND(Q344*IFERROR(INDEX(Settings!$B$2:$B$4,MATCH(K344,Settings!$A$2:$A$4,0)),0)+IFERROR(INDEX(Settings!$C$2:$C$4,MATCH(K344,Settings!$A$2:$A$4,0)),0),2))</f>
        <v/>
      </c>
      <c r="S344" s="13" t="str">
        <f aca="false">IF(Q344="","",Q344-R344-N(I344))</f>
        <v/>
      </c>
      <c r="T344" s="14" t="str">
        <f aca="true">IF(N344="","",IF(P344&lt;&gt;"",P344-N344,TODAY()-N344))</f>
        <v/>
      </c>
      <c r="U344" s="10"/>
      <c r="V344" s="14" t="str">
        <f aca="true">IF(AND(L344="Listed",N344&lt;&gt;"",P344=""),IF(TODAY()-N344&gt;=Settings!$B$6,"STALE",""),"")</f>
        <v/>
      </c>
    </row>
    <row r="345" customFormat="false" ht="15" hidden="false" customHeight="false" outlineLevel="0" collapsed="false">
      <c r="A345" s="10"/>
      <c r="B345" s="10"/>
      <c r="C345" s="10"/>
      <c r="D345" s="10"/>
      <c r="E345" s="10"/>
      <c r="F345" s="10"/>
      <c r="G345" s="10"/>
      <c r="H345" s="10"/>
      <c r="I345" s="11"/>
      <c r="J345" s="10"/>
      <c r="K345" s="10"/>
      <c r="L345" s="10"/>
      <c r="M345" s="12"/>
      <c r="N345" s="12"/>
      <c r="O345" s="11"/>
      <c r="P345" s="12"/>
      <c r="Q345" s="11"/>
      <c r="R345" s="13" t="str">
        <f aca="false">IF(Q345="","",ROUND(Q345*IFERROR(INDEX(Settings!$B$2:$B$4,MATCH(K345,Settings!$A$2:$A$4,0)),0)+IFERROR(INDEX(Settings!$C$2:$C$4,MATCH(K345,Settings!$A$2:$A$4,0)),0),2))</f>
        <v/>
      </c>
      <c r="S345" s="13" t="str">
        <f aca="false">IF(Q345="","",Q345-R345-N(I345))</f>
        <v/>
      </c>
      <c r="T345" s="14" t="str">
        <f aca="true">IF(N345="","",IF(P345&lt;&gt;"",P345-N345,TODAY()-N345))</f>
        <v/>
      </c>
      <c r="U345" s="10"/>
      <c r="V345" s="14" t="str">
        <f aca="true">IF(AND(L345="Listed",N345&lt;&gt;"",P345=""),IF(TODAY()-N345&gt;=Settings!$B$6,"STALE",""),"")</f>
        <v/>
      </c>
    </row>
    <row r="346" customFormat="false" ht="15" hidden="false" customHeight="false" outlineLevel="0" collapsed="false">
      <c r="A346" s="10"/>
      <c r="B346" s="10"/>
      <c r="C346" s="10"/>
      <c r="D346" s="10"/>
      <c r="E346" s="10"/>
      <c r="F346" s="10"/>
      <c r="G346" s="10"/>
      <c r="H346" s="10"/>
      <c r="I346" s="11"/>
      <c r="J346" s="10"/>
      <c r="K346" s="10"/>
      <c r="L346" s="10"/>
      <c r="M346" s="12"/>
      <c r="N346" s="12"/>
      <c r="O346" s="11"/>
      <c r="P346" s="12"/>
      <c r="Q346" s="11"/>
      <c r="R346" s="13" t="str">
        <f aca="false">IF(Q346="","",ROUND(Q346*IFERROR(INDEX(Settings!$B$2:$B$4,MATCH(K346,Settings!$A$2:$A$4,0)),0)+IFERROR(INDEX(Settings!$C$2:$C$4,MATCH(K346,Settings!$A$2:$A$4,0)),0),2))</f>
        <v/>
      </c>
      <c r="S346" s="13" t="str">
        <f aca="false">IF(Q346="","",Q346-R346-N(I346))</f>
        <v/>
      </c>
      <c r="T346" s="14" t="str">
        <f aca="true">IF(N346="","",IF(P346&lt;&gt;"",P346-N346,TODAY()-N346))</f>
        <v/>
      </c>
      <c r="U346" s="10"/>
      <c r="V346" s="14" t="str">
        <f aca="true">IF(AND(L346="Listed",N346&lt;&gt;"",P346=""),IF(TODAY()-N346&gt;=Settings!$B$6,"STALE",""),"")</f>
        <v/>
      </c>
    </row>
    <row r="347" customFormat="false" ht="15" hidden="false" customHeight="false" outlineLevel="0" collapsed="false">
      <c r="A347" s="10"/>
      <c r="B347" s="10"/>
      <c r="C347" s="10"/>
      <c r="D347" s="10"/>
      <c r="E347" s="10"/>
      <c r="F347" s="10"/>
      <c r="G347" s="10"/>
      <c r="H347" s="10"/>
      <c r="I347" s="11"/>
      <c r="J347" s="10"/>
      <c r="K347" s="10"/>
      <c r="L347" s="10"/>
      <c r="M347" s="12"/>
      <c r="N347" s="12"/>
      <c r="O347" s="11"/>
      <c r="P347" s="12"/>
      <c r="Q347" s="11"/>
      <c r="R347" s="13" t="str">
        <f aca="false">IF(Q347="","",ROUND(Q347*IFERROR(INDEX(Settings!$B$2:$B$4,MATCH(K347,Settings!$A$2:$A$4,0)),0)+IFERROR(INDEX(Settings!$C$2:$C$4,MATCH(K347,Settings!$A$2:$A$4,0)),0),2))</f>
        <v/>
      </c>
      <c r="S347" s="13" t="str">
        <f aca="false">IF(Q347="","",Q347-R347-N(I347))</f>
        <v/>
      </c>
      <c r="T347" s="14" t="str">
        <f aca="true">IF(N347="","",IF(P347&lt;&gt;"",P347-N347,TODAY()-N347))</f>
        <v/>
      </c>
      <c r="U347" s="10"/>
      <c r="V347" s="14" t="str">
        <f aca="true">IF(AND(L347="Listed",N347&lt;&gt;"",P347=""),IF(TODAY()-N347&gt;=Settings!$B$6,"STALE",""),"")</f>
        <v/>
      </c>
    </row>
    <row r="348" customFormat="false" ht="15" hidden="false" customHeight="false" outlineLevel="0" collapsed="false">
      <c r="A348" s="10"/>
      <c r="B348" s="10"/>
      <c r="C348" s="10"/>
      <c r="D348" s="10"/>
      <c r="E348" s="10"/>
      <c r="F348" s="10"/>
      <c r="G348" s="10"/>
      <c r="H348" s="10"/>
      <c r="I348" s="11"/>
      <c r="J348" s="10"/>
      <c r="K348" s="10"/>
      <c r="L348" s="10"/>
      <c r="M348" s="12"/>
      <c r="N348" s="12"/>
      <c r="O348" s="11"/>
      <c r="P348" s="12"/>
      <c r="Q348" s="11"/>
      <c r="R348" s="13" t="str">
        <f aca="false">IF(Q348="","",ROUND(Q348*IFERROR(INDEX(Settings!$B$2:$B$4,MATCH(K348,Settings!$A$2:$A$4,0)),0)+IFERROR(INDEX(Settings!$C$2:$C$4,MATCH(K348,Settings!$A$2:$A$4,0)),0),2))</f>
        <v/>
      </c>
      <c r="S348" s="13" t="str">
        <f aca="false">IF(Q348="","",Q348-R348-N(I348))</f>
        <v/>
      </c>
      <c r="T348" s="14" t="str">
        <f aca="true">IF(N348="","",IF(P348&lt;&gt;"",P348-N348,TODAY()-N348))</f>
        <v/>
      </c>
      <c r="U348" s="10"/>
      <c r="V348" s="14" t="str">
        <f aca="true">IF(AND(L348="Listed",N348&lt;&gt;"",P348=""),IF(TODAY()-N348&gt;=Settings!$B$6,"STALE",""),"")</f>
        <v/>
      </c>
    </row>
    <row r="349" customFormat="false" ht="15" hidden="false" customHeight="false" outlineLevel="0" collapsed="false">
      <c r="A349" s="10"/>
      <c r="B349" s="10"/>
      <c r="C349" s="10"/>
      <c r="D349" s="10"/>
      <c r="E349" s="10"/>
      <c r="F349" s="10"/>
      <c r="G349" s="10"/>
      <c r="H349" s="10"/>
      <c r="I349" s="11"/>
      <c r="J349" s="10"/>
      <c r="K349" s="10"/>
      <c r="L349" s="10"/>
      <c r="M349" s="12"/>
      <c r="N349" s="12"/>
      <c r="O349" s="11"/>
      <c r="P349" s="12"/>
      <c r="Q349" s="11"/>
      <c r="R349" s="13" t="str">
        <f aca="false">IF(Q349="","",ROUND(Q349*IFERROR(INDEX(Settings!$B$2:$B$4,MATCH(K349,Settings!$A$2:$A$4,0)),0)+IFERROR(INDEX(Settings!$C$2:$C$4,MATCH(K349,Settings!$A$2:$A$4,0)),0),2))</f>
        <v/>
      </c>
      <c r="S349" s="13" t="str">
        <f aca="false">IF(Q349="","",Q349-R349-N(I349))</f>
        <v/>
      </c>
      <c r="T349" s="14" t="str">
        <f aca="true">IF(N349="","",IF(P349&lt;&gt;"",P349-N349,TODAY()-N349))</f>
        <v/>
      </c>
      <c r="U349" s="10"/>
      <c r="V349" s="14" t="str">
        <f aca="true">IF(AND(L349="Listed",N349&lt;&gt;"",P349=""),IF(TODAY()-N349&gt;=Settings!$B$6,"STALE",""),"")</f>
        <v/>
      </c>
    </row>
    <row r="350" customFormat="false" ht="15" hidden="false" customHeight="false" outlineLevel="0" collapsed="false">
      <c r="A350" s="10"/>
      <c r="B350" s="10"/>
      <c r="C350" s="10"/>
      <c r="D350" s="10"/>
      <c r="E350" s="10"/>
      <c r="F350" s="10"/>
      <c r="G350" s="10"/>
      <c r="H350" s="10"/>
      <c r="I350" s="11"/>
      <c r="J350" s="10"/>
      <c r="K350" s="10"/>
      <c r="L350" s="10"/>
      <c r="M350" s="12"/>
      <c r="N350" s="12"/>
      <c r="O350" s="11"/>
      <c r="P350" s="12"/>
      <c r="Q350" s="11"/>
      <c r="R350" s="13" t="str">
        <f aca="false">IF(Q350="","",ROUND(Q350*IFERROR(INDEX(Settings!$B$2:$B$4,MATCH(K350,Settings!$A$2:$A$4,0)),0)+IFERROR(INDEX(Settings!$C$2:$C$4,MATCH(K350,Settings!$A$2:$A$4,0)),0),2))</f>
        <v/>
      </c>
      <c r="S350" s="13" t="str">
        <f aca="false">IF(Q350="","",Q350-R350-N(I350))</f>
        <v/>
      </c>
      <c r="T350" s="14" t="str">
        <f aca="true">IF(N350="","",IF(P350&lt;&gt;"",P350-N350,TODAY()-N350))</f>
        <v/>
      </c>
      <c r="U350" s="10"/>
      <c r="V350" s="14" t="str">
        <f aca="true">IF(AND(L350="Listed",N350&lt;&gt;"",P350=""),IF(TODAY()-N350&gt;=Settings!$B$6,"STALE",""),"")</f>
        <v/>
      </c>
    </row>
    <row r="351" customFormat="false" ht="15" hidden="false" customHeight="false" outlineLevel="0" collapsed="false">
      <c r="A351" s="10"/>
      <c r="B351" s="10"/>
      <c r="C351" s="10"/>
      <c r="D351" s="10"/>
      <c r="E351" s="10"/>
      <c r="F351" s="10"/>
      <c r="G351" s="10"/>
      <c r="H351" s="10"/>
      <c r="I351" s="11"/>
      <c r="J351" s="10"/>
      <c r="K351" s="10"/>
      <c r="L351" s="10"/>
      <c r="M351" s="12"/>
      <c r="N351" s="12"/>
      <c r="O351" s="11"/>
      <c r="P351" s="12"/>
      <c r="Q351" s="11"/>
      <c r="R351" s="13" t="str">
        <f aca="false">IF(Q351="","",ROUND(Q351*IFERROR(INDEX(Settings!$B$2:$B$4,MATCH(K351,Settings!$A$2:$A$4,0)),0)+IFERROR(INDEX(Settings!$C$2:$C$4,MATCH(K351,Settings!$A$2:$A$4,0)),0),2))</f>
        <v/>
      </c>
      <c r="S351" s="13" t="str">
        <f aca="false">IF(Q351="","",Q351-R351-N(I351))</f>
        <v/>
      </c>
      <c r="T351" s="14" t="str">
        <f aca="true">IF(N351="","",IF(P351&lt;&gt;"",P351-N351,TODAY()-N351))</f>
        <v/>
      </c>
      <c r="U351" s="10"/>
      <c r="V351" s="14" t="str">
        <f aca="true">IF(AND(L351="Listed",N351&lt;&gt;"",P351=""),IF(TODAY()-N351&gt;=Settings!$B$6,"STALE",""),"")</f>
        <v/>
      </c>
    </row>
    <row r="352" customFormat="false" ht="15" hidden="false" customHeight="false" outlineLevel="0" collapsed="false">
      <c r="A352" s="10"/>
      <c r="B352" s="10"/>
      <c r="C352" s="10"/>
      <c r="D352" s="10"/>
      <c r="E352" s="10"/>
      <c r="F352" s="10"/>
      <c r="G352" s="10"/>
      <c r="H352" s="10"/>
      <c r="I352" s="11"/>
      <c r="J352" s="10"/>
      <c r="K352" s="10"/>
      <c r="L352" s="10"/>
      <c r="M352" s="12"/>
      <c r="N352" s="12"/>
      <c r="O352" s="11"/>
      <c r="P352" s="12"/>
      <c r="Q352" s="11"/>
      <c r="R352" s="13" t="str">
        <f aca="false">IF(Q352="","",ROUND(Q352*IFERROR(INDEX(Settings!$B$2:$B$4,MATCH(K352,Settings!$A$2:$A$4,0)),0)+IFERROR(INDEX(Settings!$C$2:$C$4,MATCH(K352,Settings!$A$2:$A$4,0)),0),2))</f>
        <v/>
      </c>
      <c r="S352" s="13" t="str">
        <f aca="false">IF(Q352="","",Q352-R352-N(I352))</f>
        <v/>
      </c>
      <c r="T352" s="14" t="str">
        <f aca="true">IF(N352="","",IF(P352&lt;&gt;"",P352-N352,TODAY()-N352))</f>
        <v/>
      </c>
      <c r="U352" s="10"/>
      <c r="V352" s="14" t="str">
        <f aca="true">IF(AND(L352="Listed",N352&lt;&gt;"",P352=""),IF(TODAY()-N352&gt;=Settings!$B$6,"STALE",""),"")</f>
        <v/>
      </c>
    </row>
    <row r="353" customFormat="false" ht="15" hidden="false" customHeight="false" outlineLevel="0" collapsed="false">
      <c r="A353" s="10"/>
      <c r="B353" s="10"/>
      <c r="C353" s="10"/>
      <c r="D353" s="10"/>
      <c r="E353" s="10"/>
      <c r="F353" s="10"/>
      <c r="G353" s="10"/>
      <c r="H353" s="10"/>
      <c r="I353" s="11"/>
      <c r="J353" s="10"/>
      <c r="K353" s="10"/>
      <c r="L353" s="10"/>
      <c r="M353" s="12"/>
      <c r="N353" s="12"/>
      <c r="O353" s="11"/>
      <c r="P353" s="12"/>
      <c r="Q353" s="11"/>
      <c r="R353" s="13" t="str">
        <f aca="false">IF(Q353="","",ROUND(Q353*IFERROR(INDEX(Settings!$B$2:$B$4,MATCH(K353,Settings!$A$2:$A$4,0)),0)+IFERROR(INDEX(Settings!$C$2:$C$4,MATCH(K353,Settings!$A$2:$A$4,0)),0),2))</f>
        <v/>
      </c>
      <c r="S353" s="13" t="str">
        <f aca="false">IF(Q353="","",Q353-R353-N(I353))</f>
        <v/>
      </c>
      <c r="T353" s="14" t="str">
        <f aca="true">IF(N353="","",IF(P353&lt;&gt;"",P353-N353,TODAY()-N353))</f>
        <v/>
      </c>
      <c r="U353" s="10"/>
      <c r="V353" s="14" t="str">
        <f aca="true">IF(AND(L353="Listed",N353&lt;&gt;"",P353=""),IF(TODAY()-N353&gt;=Settings!$B$6,"STALE",""),"")</f>
        <v/>
      </c>
    </row>
    <row r="354" customFormat="false" ht="15" hidden="false" customHeight="false" outlineLevel="0" collapsed="false">
      <c r="A354" s="10"/>
      <c r="B354" s="10"/>
      <c r="C354" s="10"/>
      <c r="D354" s="10"/>
      <c r="E354" s="10"/>
      <c r="F354" s="10"/>
      <c r="G354" s="10"/>
      <c r="H354" s="10"/>
      <c r="I354" s="11"/>
      <c r="J354" s="10"/>
      <c r="K354" s="10"/>
      <c r="L354" s="10"/>
      <c r="M354" s="12"/>
      <c r="N354" s="12"/>
      <c r="O354" s="11"/>
      <c r="P354" s="12"/>
      <c r="Q354" s="11"/>
      <c r="R354" s="13" t="str">
        <f aca="false">IF(Q354="","",ROUND(Q354*IFERROR(INDEX(Settings!$B$2:$B$4,MATCH(K354,Settings!$A$2:$A$4,0)),0)+IFERROR(INDEX(Settings!$C$2:$C$4,MATCH(K354,Settings!$A$2:$A$4,0)),0),2))</f>
        <v/>
      </c>
      <c r="S354" s="13" t="str">
        <f aca="false">IF(Q354="","",Q354-R354-N(I354))</f>
        <v/>
      </c>
      <c r="T354" s="14" t="str">
        <f aca="true">IF(N354="","",IF(P354&lt;&gt;"",P354-N354,TODAY()-N354))</f>
        <v/>
      </c>
      <c r="U354" s="10"/>
      <c r="V354" s="14" t="str">
        <f aca="true">IF(AND(L354="Listed",N354&lt;&gt;"",P354=""),IF(TODAY()-N354&gt;=Settings!$B$6,"STALE",""),"")</f>
        <v/>
      </c>
    </row>
    <row r="355" customFormat="false" ht="15" hidden="false" customHeight="false" outlineLevel="0" collapsed="false">
      <c r="A355" s="10"/>
      <c r="B355" s="10"/>
      <c r="C355" s="10"/>
      <c r="D355" s="10"/>
      <c r="E355" s="10"/>
      <c r="F355" s="10"/>
      <c r="G355" s="10"/>
      <c r="H355" s="10"/>
      <c r="I355" s="11"/>
      <c r="J355" s="10"/>
      <c r="K355" s="10"/>
      <c r="L355" s="10"/>
      <c r="M355" s="12"/>
      <c r="N355" s="12"/>
      <c r="O355" s="11"/>
      <c r="P355" s="12"/>
      <c r="Q355" s="11"/>
      <c r="R355" s="13" t="str">
        <f aca="false">IF(Q355="","",ROUND(Q355*IFERROR(INDEX(Settings!$B$2:$B$4,MATCH(K355,Settings!$A$2:$A$4,0)),0)+IFERROR(INDEX(Settings!$C$2:$C$4,MATCH(K355,Settings!$A$2:$A$4,0)),0),2))</f>
        <v/>
      </c>
      <c r="S355" s="13" t="str">
        <f aca="false">IF(Q355="","",Q355-R355-N(I355))</f>
        <v/>
      </c>
      <c r="T355" s="14" t="str">
        <f aca="true">IF(N355="","",IF(P355&lt;&gt;"",P355-N355,TODAY()-N355))</f>
        <v/>
      </c>
      <c r="U355" s="10"/>
      <c r="V355" s="14" t="str">
        <f aca="true">IF(AND(L355="Listed",N355&lt;&gt;"",P355=""),IF(TODAY()-N355&gt;=Settings!$B$6,"STALE",""),"")</f>
        <v/>
      </c>
    </row>
    <row r="356" customFormat="false" ht="15" hidden="false" customHeight="false" outlineLevel="0" collapsed="false">
      <c r="A356" s="10"/>
      <c r="B356" s="10"/>
      <c r="C356" s="10"/>
      <c r="D356" s="10"/>
      <c r="E356" s="10"/>
      <c r="F356" s="10"/>
      <c r="G356" s="10"/>
      <c r="H356" s="10"/>
      <c r="I356" s="11"/>
      <c r="J356" s="10"/>
      <c r="K356" s="10"/>
      <c r="L356" s="10"/>
      <c r="M356" s="12"/>
      <c r="N356" s="12"/>
      <c r="O356" s="11"/>
      <c r="P356" s="12"/>
      <c r="Q356" s="11"/>
      <c r="R356" s="13" t="str">
        <f aca="false">IF(Q356="","",ROUND(Q356*IFERROR(INDEX(Settings!$B$2:$B$4,MATCH(K356,Settings!$A$2:$A$4,0)),0)+IFERROR(INDEX(Settings!$C$2:$C$4,MATCH(K356,Settings!$A$2:$A$4,0)),0),2))</f>
        <v/>
      </c>
      <c r="S356" s="13" t="str">
        <f aca="false">IF(Q356="","",Q356-R356-N(I356))</f>
        <v/>
      </c>
      <c r="T356" s="14" t="str">
        <f aca="true">IF(N356="","",IF(P356&lt;&gt;"",P356-N356,TODAY()-N356))</f>
        <v/>
      </c>
      <c r="U356" s="10"/>
      <c r="V356" s="14" t="str">
        <f aca="true">IF(AND(L356="Listed",N356&lt;&gt;"",P356=""),IF(TODAY()-N356&gt;=Settings!$B$6,"STALE",""),"")</f>
        <v/>
      </c>
    </row>
    <row r="357" customFormat="false" ht="15" hidden="false" customHeight="false" outlineLevel="0" collapsed="false">
      <c r="A357" s="10"/>
      <c r="B357" s="10"/>
      <c r="C357" s="10"/>
      <c r="D357" s="10"/>
      <c r="E357" s="10"/>
      <c r="F357" s="10"/>
      <c r="G357" s="10"/>
      <c r="H357" s="10"/>
      <c r="I357" s="11"/>
      <c r="J357" s="10"/>
      <c r="K357" s="10"/>
      <c r="L357" s="10"/>
      <c r="M357" s="12"/>
      <c r="N357" s="12"/>
      <c r="O357" s="11"/>
      <c r="P357" s="12"/>
      <c r="Q357" s="11"/>
      <c r="R357" s="13" t="str">
        <f aca="false">IF(Q357="","",ROUND(Q357*IFERROR(INDEX(Settings!$B$2:$B$4,MATCH(K357,Settings!$A$2:$A$4,0)),0)+IFERROR(INDEX(Settings!$C$2:$C$4,MATCH(K357,Settings!$A$2:$A$4,0)),0),2))</f>
        <v/>
      </c>
      <c r="S357" s="13" t="str">
        <f aca="false">IF(Q357="","",Q357-R357-N(I357))</f>
        <v/>
      </c>
      <c r="T357" s="14" t="str">
        <f aca="true">IF(N357="","",IF(P357&lt;&gt;"",P357-N357,TODAY()-N357))</f>
        <v/>
      </c>
      <c r="U357" s="10"/>
      <c r="V357" s="14" t="str">
        <f aca="true">IF(AND(L357="Listed",N357&lt;&gt;"",P357=""),IF(TODAY()-N357&gt;=Settings!$B$6,"STALE",""),"")</f>
        <v/>
      </c>
    </row>
    <row r="358" customFormat="false" ht="15" hidden="false" customHeight="false" outlineLevel="0" collapsed="false">
      <c r="A358" s="10"/>
      <c r="B358" s="10"/>
      <c r="C358" s="10"/>
      <c r="D358" s="10"/>
      <c r="E358" s="10"/>
      <c r="F358" s="10"/>
      <c r="G358" s="10"/>
      <c r="H358" s="10"/>
      <c r="I358" s="11"/>
      <c r="J358" s="10"/>
      <c r="K358" s="10"/>
      <c r="L358" s="10"/>
      <c r="M358" s="12"/>
      <c r="N358" s="12"/>
      <c r="O358" s="11"/>
      <c r="P358" s="12"/>
      <c r="Q358" s="11"/>
      <c r="R358" s="13" t="str">
        <f aca="false">IF(Q358="","",ROUND(Q358*IFERROR(INDEX(Settings!$B$2:$B$4,MATCH(K358,Settings!$A$2:$A$4,0)),0)+IFERROR(INDEX(Settings!$C$2:$C$4,MATCH(K358,Settings!$A$2:$A$4,0)),0),2))</f>
        <v/>
      </c>
      <c r="S358" s="13" t="str">
        <f aca="false">IF(Q358="","",Q358-R358-N(I358))</f>
        <v/>
      </c>
      <c r="T358" s="14" t="str">
        <f aca="true">IF(N358="","",IF(P358&lt;&gt;"",P358-N358,TODAY()-N358))</f>
        <v/>
      </c>
      <c r="U358" s="10"/>
      <c r="V358" s="14" t="str">
        <f aca="true">IF(AND(L358="Listed",N358&lt;&gt;"",P358=""),IF(TODAY()-N358&gt;=Settings!$B$6,"STALE",""),"")</f>
        <v/>
      </c>
    </row>
    <row r="359" customFormat="false" ht="15" hidden="false" customHeight="false" outlineLevel="0" collapsed="false">
      <c r="A359" s="10"/>
      <c r="B359" s="10"/>
      <c r="C359" s="10"/>
      <c r="D359" s="10"/>
      <c r="E359" s="10"/>
      <c r="F359" s="10"/>
      <c r="G359" s="10"/>
      <c r="H359" s="10"/>
      <c r="I359" s="11"/>
      <c r="J359" s="10"/>
      <c r="K359" s="10"/>
      <c r="L359" s="10"/>
      <c r="M359" s="12"/>
      <c r="N359" s="12"/>
      <c r="O359" s="11"/>
      <c r="P359" s="12"/>
      <c r="Q359" s="11"/>
      <c r="R359" s="13" t="str">
        <f aca="false">IF(Q359="","",ROUND(Q359*IFERROR(INDEX(Settings!$B$2:$B$4,MATCH(K359,Settings!$A$2:$A$4,0)),0)+IFERROR(INDEX(Settings!$C$2:$C$4,MATCH(K359,Settings!$A$2:$A$4,0)),0),2))</f>
        <v/>
      </c>
      <c r="S359" s="13" t="str">
        <f aca="false">IF(Q359="","",Q359-R359-N(I359))</f>
        <v/>
      </c>
      <c r="T359" s="14" t="str">
        <f aca="true">IF(N359="","",IF(P359&lt;&gt;"",P359-N359,TODAY()-N359))</f>
        <v/>
      </c>
      <c r="U359" s="10"/>
      <c r="V359" s="14" t="str">
        <f aca="true">IF(AND(L359="Listed",N359&lt;&gt;"",P359=""),IF(TODAY()-N359&gt;=Settings!$B$6,"STALE",""),"")</f>
        <v/>
      </c>
    </row>
    <row r="360" customFormat="false" ht="15" hidden="false" customHeight="false" outlineLevel="0" collapsed="false">
      <c r="A360" s="10"/>
      <c r="B360" s="10"/>
      <c r="C360" s="10"/>
      <c r="D360" s="10"/>
      <c r="E360" s="10"/>
      <c r="F360" s="10"/>
      <c r="G360" s="10"/>
      <c r="H360" s="10"/>
      <c r="I360" s="11"/>
      <c r="J360" s="10"/>
      <c r="K360" s="10"/>
      <c r="L360" s="10"/>
      <c r="M360" s="12"/>
      <c r="N360" s="12"/>
      <c r="O360" s="11"/>
      <c r="P360" s="12"/>
      <c r="Q360" s="11"/>
      <c r="R360" s="13" t="str">
        <f aca="false">IF(Q360="","",ROUND(Q360*IFERROR(INDEX(Settings!$B$2:$B$4,MATCH(K360,Settings!$A$2:$A$4,0)),0)+IFERROR(INDEX(Settings!$C$2:$C$4,MATCH(K360,Settings!$A$2:$A$4,0)),0),2))</f>
        <v/>
      </c>
      <c r="S360" s="13" t="str">
        <f aca="false">IF(Q360="","",Q360-R360-N(I360))</f>
        <v/>
      </c>
      <c r="T360" s="14" t="str">
        <f aca="true">IF(N360="","",IF(P360&lt;&gt;"",P360-N360,TODAY()-N360))</f>
        <v/>
      </c>
      <c r="U360" s="10"/>
      <c r="V360" s="14" t="str">
        <f aca="true">IF(AND(L360="Listed",N360&lt;&gt;"",P360=""),IF(TODAY()-N360&gt;=Settings!$B$6,"STALE",""),"")</f>
        <v/>
      </c>
    </row>
    <row r="361" customFormat="false" ht="15" hidden="false" customHeight="false" outlineLevel="0" collapsed="false">
      <c r="A361" s="10"/>
      <c r="B361" s="10"/>
      <c r="C361" s="10"/>
      <c r="D361" s="10"/>
      <c r="E361" s="10"/>
      <c r="F361" s="10"/>
      <c r="G361" s="10"/>
      <c r="H361" s="10"/>
      <c r="I361" s="11"/>
      <c r="J361" s="10"/>
      <c r="K361" s="10"/>
      <c r="L361" s="10"/>
      <c r="M361" s="12"/>
      <c r="N361" s="12"/>
      <c r="O361" s="11"/>
      <c r="P361" s="12"/>
      <c r="Q361" s="11"/>
      <c r="R361" s="13" t="str">
        <f aca="false">IF(Q361="","",ROUND(Q361*IFERROR(INDEX(Settings!$B$2:$B$4,MATCH(K361,Settings!$A$2:$A$4,0)),0)+IFERROR(INDEX(Settings!$C$2:$C$4,MATCH(K361,Settings!$A$2:$A$4,0)),0),2))</f>
        <v/>
      </c>
      <c r="S361" s="13" t="str">
        <f aca="false">IF(Q361="","",Q361-R361-N(I361))</f>
        <v/>
      </c>
      <c r="T361" s="14" t="str">
        <f aca="true">IF(N361="","",IF(P361&lt;&gt;"",P361-N361,TODAY()-N361))</f>
        <v/>
      </c>
      <c r="U361" s="10"/>
      <c r="V361" s="14" t="str">
        <f aca="true">IF(AND(L361="Listed",N361&lt;&gt;"",P361=""),IF(TODAY()-N361&gt;=Settings!$B$6,"STALE",""),"")</f>
        <v/>
      </c>
    </row>
    <row r="362" customFormat="false" ht="15" hidden="false" customHeight="false" outlineLevel="0" collapsed="false">
      <c r="A362" s="10"/>
      <c r="B362" s="10"/>
      <c r="C362" s="10"/>
      <c r="D362" s="10"/>
      <c r="E362" s="10"/>
      <c r="F362" s="10"/>
      <c r="G362" s="10"/>
      <c r="H362" s="10"/>
      <c r="I362" s="11"/>
      <c r="J362" s="10"/>
      <c r="K362" s="10"/>
      <c r="L362" s="10"/>
      <c r="M362" s="12"/>
      <c r="N362" s="12"/>
      <c r="O362" s="11"/>
      <c r="P362" s="12"/>
      <c r="Q362" s="11"/>
      <c r="R362" s="13" t="str">
        <f aca="false">IF(Q362="","",ROUND(Q362*IFERROR(INDEX(Settings!$B$2:$B$4,MATCH(K362,Settings!$A$2:$A$4,0)),0)+IFERROR(INDEX(Settings!$C$2:$C$4,MATCH(K362,Settings!$A$2:$A$4,0)),0),2))</f>
        <v/>
      </c>
      <c r="S362" s="13" t="str">
        <f aca="false">IF(Q362="","",Q362-R362-N(I362))</f>
        <v/>
      </c>
      <c r="T362" s="14" t="str">
        <f aca="true">IF(N362="","",IF(P362&lt;&gt;"",P362-N362,TODAY()-N362))</f>
        <v/>
      </c>
      <c r="U362" s="10"/>
      <c r="V362" s="14" t="str">
        <f aca="true">IF(AND(L362="Listed",N362&lt;&gt;"",P362=""),IF(TODAY()-N362&gt;=Settings!$B$6,"STALE",""),"")</f>
        <v/>
      </c>
    </row>
    <row r="363" customFormat="false" ht="15" hidden="false" customHeight="false" outlineLevel="0" collapsed="false">
      <c r="A363" s="10"/>
      <c r="B363" s="10"/>
      <c r="C363" s="10"/>
      <c r="D363" s="10"/>
      <c r="E363" s="10"/>
      <c r="F363" s="10"/>
      <c r="G363" s="10"/>
      <c r="H363" s="10"/>
      <c r="I363" s="11"/>
      <c r="J363" s="10"/>
      <c r="K363" s="10"/>
      <c r="L363" s="10"/>
      <c r="M363" s="12"/>
      <c r="N363" s="12"/>
      <c r="O363" s="11"/>
      <c r="P363" s="12"/>
      <c r="Q363" s="11"/>
      <c r="R363" s="13" t="str">
        <f aca="false">IF(Q363="","",ROUND(Q363*IFERROR(INDEX(Settings!$B$2:$B$4,MATCH(K363,Settings!$A$2:$A$4,0)),0)+IFERROR(INDEX(Settings!$C$2:$C$4,MATCH(K363,Settings!$A$2:$A$4,0)),0),2))</f>
        <v/>
      </c>
      <c r="S363" s="13" t="str">
        <f aca="false">IF(Q363="","",Q363-R363-N(I363))</f>
        <v/>
      </c>
      <c r="T363" s="14" t="str">
        <f aca="true">IF(N363="","",IF(P363&lt;&gt;"",P363-N363,TODAY()-N363))</f>
        <v/>
      </c>
      <c r="U363" s="10"/>
      <c r="V363" s="14" t="str">
        <f aca="true">IF(AND(L363="Listed",N363&lt;&gt;"",P363=""),IF(TODAY()-N363&gt;=Settings!$B$6,"STALE",""),"")</f>
        <v/>
      </c>
    </row>
    <row r="364" customFormat="false" ht="15" hidden="false" customHeight="false" outlineLevel="0" collapsed="false">
      <c r="A364" s="10"/>
      <c r="B364" s="10"/>
      <c r="C364" s="10"/>
      <c r="D364" s="10"/>
      <c r="E364" s="10"/>
      <c r="F364" s="10"/>
      <c r="G364" s="10"/>
      <c r="H364" s="10"/>
      <c r="I364" s="11"/>
      <c r="J364" s="10"/>
      <c r="K364" s="10"/>
      <c r="L364" s="10"/>
      <c r="M364" s="12"/>
      <c r="N364" s="12"/>
      <c r="O364" s="11"/>
      <c r="P364" s="12"/>
      <c r="Q364" s="11"/>
      <c r="R364" s="13" t="str">
        <f aca="false">IF(Q364="","",ROUND(Q364*IFERROR(INDEX(Settings!$B$2:$B$4,MATCH(K364,Settings!$A$2:$A$4,0)),0)+IFERROR(INDEX(Settings!$C$2:$C$4,MATCH(K364,Settings!$A$2:$A$4,0)),0),2))</f>
        <v/>
      </c>
      <c r="S364" s="13" t="str">
        <f aca="false">IF(Q364="","",Q364-R364-N(I364))</f>
        <v/>
      </c>
      <c r="T364" s="14" t="str">
        <f aca="true">IF(N364="","",IF(P364&lt;&gt;"",P364-N364,TODAY()-N364))</f>
        <v/>
      </c>
      <c r="U364" s="10"/>
      <c r="V364" s="14" t="str">
        <f aca="true">IF(AND(L364="Listed",N364&lt;&gt;"",P364=""),IF(TODAY()-N364&gt;=Settings!$B$6,"STALE",""),"")</f>
        <v/>
      </c>
    </row>
    <row r="365" customFormat="false" ht="15" hidden="false" customHeight="false" outlineLevel="0" collapsed="false">
      <c r="A365" s="10"/>
      <c r="B365" s="10"/>
      <c r="C365" s="10"/>
      <c r="D365" s="10"/>
      <c r="E365" s="10"/>
      <c r="F365" s="10"/>
      <c r="G365" s="10"/>
      <c r="H365" s="10"/>
      <c r="I365" s="11"/>
      <c r="J365" s="10"/>
      <c r="K365" s="10"/>
      <c r="L365" s="10"/>
      <c r="M365" s="12"/>
      <c r="N365" s="12"/>
      <c r="O365" s="11"/>
      <c r="P365" s="12"/>
      <c r="Q365" s="11"/>
      <c r="R365" s="13" t="str">
        <f aca="false">IF(Q365="","",ROUND(Q365*IFERROR(INDEX(Settings!$B$2:$B$4,MATCH(K365,Settings!$A$2:$A$4,0)),0)+IFERROR(INDEX(Settings!$C$2:$C$4,MATCH(K365,Settings!$A$2:$A$4,0)),0),2))</f>
        <v/>
      </c>
      <c r="S365" s="13" t="str">
        <f aca="false">IF(Q365="","",Q365-R365-N(I365))</f>
        <v/>
      </c>
      <c r="T365" s="14" t="str">
        <f aca="true">IF(N365="","",IF(P365&lt;&gt;"",P365-N365,TODAY()-N365))</f>
        <v/>
      </c>
      <c r="U365" s="10"/>
      <c r="V365" s="14" t="str">
        <f aca="true">IF(AND(L365="Listed",N365&lt;&gt;"",P365=""),IF(TODAY()-N365&gt;=Settings!$B$6,"STALE",""),"")</f>
        <v/>
      </c>
    </row>
    <row r="366" customFormat="false" ht="15" hidden="false" customHeight="false" outlineLevel="0" collapsed="false">
      <c r="A366" s="10"/>
      <c r="B366" s="10"/>
      <c r="C366" s="10"/>
      <c r="D366" s="10"/>
      <c r="E366" s="10"/>
      <c r="F366" s="10"/>
      <c r="G366" s="10"/>
      <c r="H366" s="10"/>
      <c r="I366" s="11"/>
      <c r="J366" s="10"/>
      <c r="K366" s="10"/>
      <c r="L366" s="10"/>
      <c r="M366" s="12"/>
      <c r="N366" s="12"/>
      <c r="O366" s="11"/>
      <c r="P366" s="12"/>
      <c r="Q366" s="11"/>
      <c r="R366" s="13" t="str">
        <f aca="false">IF(Q366="","",ROUND(Q366*IFERROR(INDEX(Settings!$B$2:$B$4,MATCH(K366,Settings!$A$2:$A$4,0)),0)+IFERROR(INDEX(Settings!$C$2:$C$4,MATCH(K366,Settings!$A$2:$A$4,0)),0),2))</f>
        <v/>
      </c>
      <c r="S366" s="13" t="str">
        <f aca="false">IF(Q366="","",Q366-R366-N(I366))</f>
        <v/>
      </c>
      <c r="T366" s="14" t="str">
        <f aca="true">IF(N366="","",IF(P366&lt;&gt;"",P366-N366,TODAY()-N366))</f>
        <v/>
      </c>
      <c r="U366" s="10"/>
      <c r="V366" s="14" t="str">
        <f aca="true">IF(AND(L366="Listed",N366&lt;&gt;"",P366=""),IF(TODAY()-N366&gt;=Settings!$B$6,"STALE",""),"")</f>
        <v/>
      </c>
    </row>
    <row r="367" customFormat="false" ht="15" hidden="false" customHeight="false" outlineLevel="0" collapsed="false">
      <c r="A367" s="10"/>
      <c r="B367" s="10"/>
      <c r="C367" s="10"/>
      <c r="D367" s="10"/>
      <c r="E367" s="10"/>
      <c r="F367" s="10"/>
      <c r="G367" s="10"/>
      <c r="H367" s="10"/>
      <c r="I367" s="11"/>
      <c r="J367" s="10"/>
      <c r="K367" s="10"/>
      <c r="L367" s="10"/>
      <c r="M367" s="12"/>
      <c r="N367" s="12"/>
      <c r="O367" s="11"/>
      <c r="P367" s="12"/>
      <c r="Q367" s="11"/>
      <c r="R367" s="13" t="str">
        <f aca="false">IF(Q367="","",ROUND(Q367*IFERROR(INDEX(Settings!$B$2:$B$4,MATCH(K367,Settings!$A$2:$A$4,0)),0)+IFERROR(INDEX(Settings!$C$2:$C$4,MATCH(K367,Settings!$A$2:$A$4,0)),0),2))</f>
        <v/>
      </c>
      <c r="S367" s="13" t="str">
        <f aca="false">IF(Q367="","",Q367-R367-N(I367))</f>
        <v/>
      </c>
      <c r="T367" s="14" t="str">
        <f aca="true">IF(N367="","",IF(P367&lt;&gt;"",P367-N367,TODAY()-N367))</f>
        <v/>
      </c>
      <c r="U367" s="10"/>
      <c r="V367" s="14" t="str">
        <f aca="true">IF(AND(L367="Listed",N367&lt;&gt;"",P367=""),IF(TODAY()-N367&gt;=Settings!$B$6,"STALE",""),"")</f>
        <v/>
      </c>
    </row>
    <row r="368" customFormat="false" ht="15" hidden="false" customHeight="false" outlineLevel="0" collapsed="false">
      <c r="A368" s="10"/>
      <c r="B368" s="10"/>
      <c r="C368" s="10"/>
      <c r="D368" s="10"/>
      <c r="E368" s="10"/>
      <c r="F368" s="10"/>
      <c r="G368" s="10"/>
      <c r="H368" s="10"/>
      <c r="I368" s="11"/>
      <c r="J368" s="10"/>
      <c r="K368" s="10"/>
      <c r="L368" s="10"/>
      <c r="M368" s="12"/>
      <c r="N368" s="12"/>
      <c r="O368" s="11"/>
      <c r="P368" s="12"/>
      <c r="Q368" s="11"/>
      <c r="R368" s="13" t="str">
        <f aca="false">IF(Q368="","",ROUND(Q368*IFERROR(INDEX(Settings!$B$2:$B$4,MATCH(K368,Settings!$A$2:$A$4,0)),0)+IFERROR(INDEX(Settings!$C$2:$C$4,MATCH(K368,Settings!$A$2:$A$4,0)),0),2))</f>
        <v/>
      </c>
      <c r="S368" s="13" t="str">
        <f aca="false">IF(Q368="","",Q368-R368-N(I368))</f>
        <v/>
      </c>
      <c r="T368" s="14" t="str">
        <f aca="true">IF(N368="","",IF(P368&lt;&gt;"",P368-N368,TODAY()-N368))</f>
        <v/>
      </c>
      <c r="U368" s="10"/>
      <c r="V368" s="14" t="str">
        <f aca="true">IF(AND(L368="Listed",N368&lt;&gt;"",P368=""),IF(TODAY()-N368&gt;=Settings!$B$6,"STALE",""),"")</f>
        <v/>
      </c>
    </row>
    <row r="369" customFormat="false" ht="15" hidden="false" customHeight="false" outlineLevel="0" collapsed="false">
      <c r="A369" s="10"/>
      <c r="B369" s="10"/>
      <c r="C369" s="10"/>
      <c r="D369" s="10"/>
      <c r="E369" s="10"/>
      <c r="F369" s="10"/>
      <c r="G369" s="10"/>
      <c r="H369" s="10"/>
      <c r="I369" s="11"/>
      <c r="J369" s="10"/>
      <c r="K369" s="10"/>
      <c r="L369" s="10"/>
      <c r="M369" s="12"/>
      <c r="N369" s="12"/>
      <c r="O369" s="11"/>
      <c r="P369" s="12"/>
      <c r="Q369" s="11"/>
      <c r="R369" s="13" t="str">
        <f aca="false">IF(Q369="","",ROUND(Q369*IFERROR(INDEX(Settings!$B$2:$B$4,MATCH(K369,Settings!$A$2:$A$4,0)),0)+IFERROR(INDEX(Settings!$C$2:$C$4,MATCH(K369,Settings!$A$2:$A$4,0)),0),2))</f>
        <v/>
      </c>
      <c r="S369" s="13" t="str">
        <f aca="false">IF(Q369="","",Q369-R369-N(I369))</f>
        <v/>
      </c>
      <c r="T369" s="14" t="str">
        <f aca="true">IF(N369="","",IF(P369&lt;&gt;"",P369-N369,TODAY()-N369))</f>
        <v/>
      </c>
      <c r="U369" s="10"/>
      <c r="V369" s="14" t="str">
        <f aca="true">IF(AND(L369="Listed",N369&lt;&gt;"",P369=""),IF(TODAY()-N369&gt;=Settings!$B$6,"STALE",""),"")</f>
        <v/>
      </c>
    </row>
    <row r="370" customFormat="false" ht="15" hidden="false" customHeight="false" outlineLevel="0" collapsed="false">
      <c r="A370" s="10"/>
      <c r="B370" s="10"/>
      <c r="C370" s="10"/>
      <c r="D370" s="10"/>
      <c r="E370" s="10"/>
      <c r="F370" s="10"/>
      <c r="G370" s="10"/>
      <c r="H370" s="10"/>
      <c r="I370" s="11"/>
      <c r="J370" s="10"/>
      <c r="K370" s="10"/>
      <c r="L370" s="10"/>
      <c r="M370" s="12"/>
      <c r="N370" s="12"/>
      <c r="O370" s="11"/>
      <c r="P370" s="12"/>
      <c r="Q370" s="11"/>
      <c r="R370" s="13" t="str">
        <f aca="false">IF(Q370="","",ROUND(Q370*IFERROR(INDEX(Settings!$B$2:$B$4,MATCH(K370,Settings!$A$2:$A$4,0)),0)+IFERROR(INDEX(Settings!$C$2:$C$4,MATCH(K370,Settings!$A$2:$A$4,0)),0),2))</f>
        <v/>
      </c>
      <c r="S370" s="13" t="str">
        <f aca="false">IF(Q370="","",Q370-R370-N(I370))</f>
        <v/>
      </c>
      <c r="T370" s="14" t="str">
        <f aca="true">IF(N370="","",IF(P370&lt;&gt;"",P370-N370,TODAY()-N370))</f>
        <v/>
      </c>
      <c r="U370" s="10"/>
      <c r="V370" s="14" t="str">
        <f aca="true">IF(AND(L370="Listed",N370&lt;&gt;"",P370=""),IF(TODAY()-N370&gt;=Settings!$B$6,"STALE",""),"")</f>
        <v/>
      </c>
    </row>
    <row r="371" customFormat="false" ht="15" hidden="false" customHeight="false" outlineLevel="0" collapsed="false">
      <c r="A371" s="10"/>
      <c r="B371" s="10"/>
      <c r="C371" s="10"/>
      <c r="D371" s="10"/>
      <c r="E371" s="10"/>
      <c r="F371" s="10"/>
      <c r="G371" s="10"/>
      <c r="H371" s="10"/>
      <c r="I371" s="11"/>
      <c r="J371" s="10"/>
      <c r="K371" s="10"/>
      <c r="L371" s="10"/>
      <c r="M371" s="12"/>
      <c r="N371" s="12"/>
      <c r="O371" s="11"/>
      <c r="P371" s="12"/>
      <c r="Q371" s="11"/>
      <c r="R371" s="13" t="str">
        <f aca="false">IF(Q371="","",ROUND(Q371*IFERROR(INDEX(Settings!$B$2:$B$4,MATCH(K371,Settings!$A$2:$A$4,0)),0)+IFERROR(INDEX(Settings!$C$2:$C$4,MATCH(K371,Settings!$A$2:$A$4,0)),0),2))</f>
        <v/>
      </c>
      <c r="S371" s="13" t="str">
        <f aca="false">IF(Q371="","",Q371-R371-N(I371))</f>
        <v/>
      </c>
      <c r="T371" s="14" t="str">
        <f aca="true">IF(N371="","",IF(P371&lt;&gt;"",P371-N371,TODAY()-N371))</f>
        <v/>
      </c>
      <c r="U371" s="10"/>
      <c r="V371" s="14" t="str">
        <f aca="true">IF(AND(L371="Listed",N371&lt;&gt;"",P371=""),IF(TODAY()-N371&gt;=Settings!$B$6,"STALE",""),"")</f>
        <v/>
      </c>
    </row>
    <row r="372" customFormat="false" ht="15" hidden="false" customHeight="false" outlineLevel="0" collapsed="false">
      <c r="A372" s="10"/>
      <c r="B372" s="10"/>
      <c r="C372" s="10"/>
      <c r="D372" s="10"/>
      <c r="E372" s="10"/>
      <c r="F372" s="10"/>
      <c r="G372" s="10"/>
      <c r="H372" s="10"/>
      <c r="I372" s="11"/>
      <c r="J372" s="10"/>
      <c r="K372" s="10"/>
      <c r="L372" s="10"/>
      <c r="M372" s="12"/>
      <c r="N372" s="12"/>
      <c r="O372" s="11"/>
      <c r="P372" s="12"/>
      <c r="Q372" s="11"/>
      <c r="R372" s="13" t="str">
        <f aca="false">IF(Q372="","",ROUND(Q372*IFERROR(INDEX(Settings!$B$2:$B$4,MATCH(K372,Settings!$A$2:$A$4,0)),0)+IFERROR(INDEX(Settings!$C$2:$C$4,MATCH(K372,Settings!$A$2:$A$4,0)),0),2))</f>
        <v/>
      </c>
      <c r="S372" s="13" t="str">
        <f aca="false">IF(Q372="","",Q372-R372-N(I372))</f>
        <v/>
      </c>
      <c r="T372" s="14" t="str">
        <f aca="true">IF(N372="","",IF(P372&lt;&gt;"",P372-N372,TODAY()-N372))</f>
        <v/>
      </c>
      <c r="U372" s="10"/>
      <c r="V372" s="14" t="str">
        <f aca="true">IF(AND(L372="Listed",N372&lt;&gt;"",P372=""),IF(TODAY()-N372&gt;=Settings!$B$6,"STALE",""),"")</f>
        <v/>
      </c>
    </row>
    <row r="373" customFormat="false" ht="15" hidden="false" customHeight="false" outlineLevel="0" collapsed="false">
      <c r="A373" s="10"/>
      <c r="B373" s="10"/>
      <c r="C373" s="10"/>
      <c r="D373" s="10"/>
      <c r="E373" s="10"/>
      <c r="F373" s="10"/>
      <c r="G373" s="10"/>
      <c r="H373" s="10"/>
      <c r="I373" s="11"/>
      <c r="J373" s="10"/>
      <c r="K373" s="10"/>
      <c r="L373" s="10"/>
      <c r="M373" s="12"/>
      <c r="N373" s="12"/>
      <c r="O373" s="11"/>
      <c r="P373" s="12"/>
      <c r="Q373" s="11"/>
      <c r="R373" s="13" t="str">
        <f aca="false">IF(Q373="","",ROUND(Q373*IFERROR(INDEX(Settings!$B$2:$B$4,MATCH(K373,Settings!$A$2:$A$4,0)),0)+IFERROR(INDEX(Settings!$C$2:$C$4,MATCH(K373,Settings!$A$2:$A$4,0)),0),2))</f>
        <v/>
      </c>
      <c r="S373" s="13" t="str">
        <f aca="false">IF(Q373="","",Q373-R373-N(I373))</f>
        <v/>
      </c>
      <c r="T373" s="14" t="str">
        <f aca="true">IF(N373="","",IF(P373&lt;&gt;"",P373-N373,TODAY()-N373))</f>
        <v/>
      </c>
      <c r="U373" s="10"/>
      <c r="V373" s="14" t="str">
        <f aca="true">IF(AND(L373="Listed",N373&lt;&gt;"",P373=""),IF(TODAY()-N373&gt;=Settings!$B$6,"STALE",""),"")</f>
        <v/>
      </c>
    </row>
    <row r="374" customFormat="false" ht="15" hidden="false" customHeight="false" outlineLevel="0" collapsed="false">
      <c r="A374" s="10"/>
      <c r="B374" s="10"/>
      <c r="C374" s="10"/>
      <c r="D374" s="10"/>
      <c r="E374" s="10"/>
      <c r="F374" s="10"/>
      <c r="G374" s="10"/>
      <c r="H374" s="10"/>
      <c r="I374" s="11"/>
      <c r="J374" s="10"/>
      <c r="K374" s="10"/>
      <c r="L374" s="10"/>
      <c r="M374" s="12"/>
      <c r="N374" s="12"/>
      <c r="O374" s="11"/>
      <c r="P374" s="12"/>
      <c r="Q374" s="11"/>
      <c r="R374" s="13" t="str">
        <f aca="false">IF(Q374="","",ROUND(Q374*IFERROR(INDEX(Settings!$B$2:$B$4,MATCH(K374,Settings!$A$2:$A$4,0)),0)+IFERROR(INDEX(Settings!$C$2:$C$4,MATCH(K374,Settings!$A$2:$A$4,0)),0),2))</f>
        <v/>
      </c>
      <c r="S374" s="13" t="str">
        <f aca="false">IF(Q374="","",Q374-R374-N(I374))</f>
        <v/>
      </c>
      <c r="T374" s="14" t="str">
        <f aca="true">IF(N374="","",IF(P374&lt;&gt;"",P374-N374,TODAY()-N374))</f>
        <v/>
      </c>
      <c r="U374" s="10"/>
      <c r="V374" s="14" t="str">
        <f aca="true">IF(AND(L374="Listed",N374&lt;&gt;"",P374=""),IF(TODAY()-N374&gt;=Settings!$B$6,"STALE",""),"")</f>
        <v/>
      </c>
    </row>
    <row r="375" customFormat="false" ht="15" hidden="false" customHeight="false" outlineLevel="0" collapsed="false">
      <c r="A375" s="10"/>
      <c r="B375" s="10"/>
      <c r="C375" s="10"/>
      <c r="D375" s="10"/>
      <c r="E375" s="10"/>
      <c r="F375" s="10"/>
      <c r="G375" s="10"/>
      <c r="H375" s="10"/>
      <c r="I375" s="11"/>
      <c r="J375" s="10"/>
      <c r="K375" s="10"/>
      <c r="L375" s="10"/>
      <c r="M375" s="12"/>
      <c r="N375" s="12"/>
      <c r="O375" s="11"/>
      <c r="P375" s="12"/>
      <c r="Q375" s="11"/>
      <c r="R375" s="13" t="str">
        <f aca="false">IF(Q375="","",ROUND(Q375*IFERROR(INDEX(Settings!$B$2:$B$4,MATCH(K375,Settings!$A$2:$A$4,0)),0)+IFERROR(INDEX(Settings!$C$2:$C$4,MATCH(K375,Settings!$A$2:$A$4,0)),0),2))</f>
        <v/>
      </c>
      <c r="S375" s="13" t="str">
        <f aca="false">IF(Q375="","",Q375-R375-N(I375))</f>
        <v/>
      </c>
      <c r="T375" s="14" t="str">
        <f aca="true">IF(N375="","",IF(P375&lt;&gt;"",P375-N375,TODAY()-N375))</f>
        <v/>
      </c>
      <c r="U375" s="10"/>
      <c r="V375" s="14" t="str">
        <f aca="true">IF(AND(L375="Listed",N375&lt;&gt;"",P375=""),IF(TODAY()-N375&gt;=Settings!$B$6,"STALE",""),"")</f>
        <v/>
      </c>
    </row>
    <row r="376" customFormat="false" ht="15" hidden="false" customHeight="false" outlineLevel="0" collapsed="false">
      <c r="A376" s="10"/>
      <c r="B376" s="10"/>
      <c r="C376" s="10"/>
      <c r="D376" s="10"/>
      <c r="E376" s="10"/>
      <c r="F376" s="10"/>
      <c r="G376" s="10"/>
      <c r="H376" s="10"/>
      <c r="I376" s="11"/>
      <c r="J376" s="10"/>
      <c r="K376" s="10"/>
      <c r="L376" s="10"/>
      <c r="M376" s="12"/>
      <c r="N376" s="12"/>
      <c r="O376" s="11"/>
      <c r="P376" s="12"/>
      <c r="Q376" s="11"/>
      <c r="R376" s="13" t="str">
        <f aca="false">IF(Q376="","",ROUND(Q376*IFERROR(INDEX(Settings!$B$2:$B$4,MATCH(K376,Settings!$A$2:$A$4,0)),0)+IFERROR(INDEX(Settings!$C$2:$C$4,MATCH(K376,Settings!$A$2:$A$4,0)),0),2))</f>
        <v/>
      </c>
      <c r="S376" s="13" t="str">
        <f aca="false">IF(Q376="","",Q376-R376-N(I376))</f>
        <v/>
      </c>
      <c r="T376" s="14" t="str">
        <f aca="true">IF(N376="","",IF(P376&lt;&gt;"",P376-N376,TODAY()-N376))</f>
        <v/>
      </c>
      <c r="U376" s="10"/>
      <c r="V376" s="14" t="str">
        <f aca="true">IF(AND(L376="Listed",N376&lt;&gt;"",P376=""),IF(TODAY()-N376&gt;=Settings!$B$6,"STALE",""),"")</f>
        <v/>
      </c>
    </row>
    <row r="377" customFormat="false" ht="15" hidden="false" customHeight="false" outlineLevel="0" collapsed="false">
      <c r="A377" s="10"/>
      <c r="B377" s="10"/>
      <c r="C377" s="10"/>
      <c r="D377" s="10"/>
      <c r="E377" s="10"/>
      <c r="F377" s="10"/>
      <c r="G377" s="10"/>
      <c r="H377" s="10"/>
      <c r="I377" s="11"/>
      <c r="J377" s="10"/>
      <c r="K377" s="10"/>
      <c r="L377" s="10"/>
      <c r="M377" s="12"/>
      <c r="N377" s="12"/>
      <c r="O377" s="11"/>
      <c r="P377" s="12"/>
      <c r="Q377" s="11"/>
      <c r="R377" s="13" t="str">
        <f aca="false">IF(Q377="","",ROUND(Q377*IFERROR(INDEX(Settings!$B$2:$B$4,MATCH(K377,Settings!$A$2:$A$4,0)),0)+IFERROR(INDEX(Settings!$C$2:$C$4,MATCH(K377,Settings!$A$2:$A$4,0)),0),2))</f>
        <v/>
      </c>
      <c r="S377" s="13" t="str">
        <f aca="false">IF(Q377="","",Q377-R377-N(I377))</f>
        <v/>
      </c>
      <c r="T377" s="14" t="str">
        <f aca="true">IF(N377="","",IF(P377&lt;&gt;"",P377-N377,TODAY()-N377))</f>
        <v/>
      </c>
      <c r="U377" s="10"/>
      <c r="V377" s="14" t="str">
        <f aca="true">IF(AND(L377="Listed",N377&lt;&gt;"",P377=""),IF(TODAY()-N377&gt;=Settings!$B$6,"STALE",""),"")</f>
        <v/>
      </c>
    </row>
    <row r="378" customFormat="false" ht="15" hidden="false" customHeight="false" outlineLevel="0" collapsed="false">
      <c r="A378" s="10"/>
      <c r="B378" s="10"/>
      <c r="C378" s="10"/>
      <c r="D378" s="10"/>
      <c r="E378" s="10"/>
      <c r="F378" s="10"/>
      <c r="G378" s="10"/>
      <c r="H378" s="10"/>
      <c r="I378" s="11"/>
      <c r="J378" s="10"/>
      <c r="K378" s="10"/>
      <c r="L378" s="10"/>
      <c r="M378" s="12"/>
      <c r="N378" s="12"/>
      <c r="O378" s="11"/>
      <c r="P378" s="12"/>
      <c r="Q378" s="11"/>
      <c r="R378" s="13" t="str">
        <f aca="false">IF(Q378="","",ROUND(Q378*IFERROR(INDEX(Settings!$B$2:$B$4,MATCH(K378,Settings!$A$2:$A$4,0)),0)+IFERROR(INDEX(Settings!$C$2:$C$4,MATCH(K378,Settings!$A$2:$A$4,0)),0),2))</f>
        <v/>
      </c>
      <c r="S378" s="13" t="str">
        <f aca="false">IF(Q378="","",Q378-R378-N(I378))</f>
        <v/>
      </c>
      <c r="T378" s="14" t="str">
        <f aca="true">IF(N378="","",IF(P378&lt;&gt;"",P378-N378,TODAY()-N378))</f>
        <v/>
      </c>
      <c r="U378" s="10"/>
      <c r="V378" s="14" t="str">
        <f aca="true">IF(AND(L378="Listed",N378&lt;&gt;"",P378=""),IF(TODAY()-N378&gt;=Settings!$B$6,"STALE",""),"")</f>
        <v/>
      </c>
    </row>
    <row r="379" customFormat="false" ht="15" hidden="false" customHeight="false" outlineLevel="0" collapsed="false">
      <c r="A379" s="10"/>
      <c r="B379" s="10"/>
      <c r="C379" s="10"/>
      <c r="D379" s="10"/>
      <c r="E379" s="10"/>
      <c r="F379" s="10"/>
      <c r="G379" s="10"/>
      <c r="H379" s="10"/>
      <c r="I379" s="11"/>
      <c r="J379" s="10"/>
      <c r="K379" s="10"/>
      <c r="L379" s="10"/>
      <c r="M379" s="12"/>
      <c r="N379" s="12"/>
      <c r="O379" s="11"/>
      <c r="P379" s="12"/>
      <c r="Q379" s="11"/>
      <c r="R379" s="13" t="str">
        <f aca="false">IF(Q379="","",ROUND(Q379*IFERROR(INDEX(Settings!$B$2:$B$4,MATCH(K379,Settings!$A$2:$A$4,0)),0)+IFERROR(INDEX(Settings!$C$2:$C$4,MATCH(K379,Settings!$A$2:$A$4,0)),0),2))</f>
        <v/>
      </c>
      <c r="S379" s="13" t="str">
        <f aca="false">IF(Q379="","",Q379-R379-N(I379))</f>
        <v/>
      </c>
      <c r="T379" s="14" t="str">
        <f aca="true">IF(N379="","",IF(P379&lt;&gt;"",P379-N379,TODAY()-N379))</f>
        <v/>
      </c>
      <c r="U379" s="10"/>
      <c r="V379" s="14" t="str">
        <f aca="true">IF(AND(L379="Listed",N379&lt;&gt;"",P379=""),IF(TODAY()-N379&gt;=Settings!$B$6,"STALE",""),"")</f>
        <v/>
      </c>
    </row>
    <row r="380" customFormat="false" ht="15" hidden="false" customHeight="false" outlineLevel="0" collapsed="false">
      <c r="A380" s="10"/>
      <c r="B380" s="10"/>
      <c r="C380" s="10"/>
      <c r="D380" s="10"/>
      <c r="E380" s="10"/>
      <c r="F380" s="10"/>
      <c r="G380" s="10"/>
      <c r="H380" s="10"/>
      <c r="I380" s="11"/>
      <c r="J380" s="10"/>
      <c r="K380" s="10"/>
      <c r="L380" s="10"/>
      <c r="M380" s="12"/>
      <c r="N380" s="12"/>
      <c r="O380" s="11"/>
      <c r="P380" s="12"/>
      <c r="Q380" s="11"/>
      <c r="R380" s="13" t="str">
        <f aca="false">IF(Q380="","",ROUND(Q380*IFERROR(INDEX(Settings!$B$2:$B$4,MATCH(K380,Settings!$A$2:$A$4,0)),0)+IFERROR(INDEX(Settings!$C$2:$C$4,MATCH(K380,Settings!$A$2:$A$4,0)),0),2))</f>
        <v/>
      </c>
      <c r="S380" s="13" t="str">
        <f aca="false">IF(Q380="","",Q380-R380-N(I380))</f>
        <v/>
      </c>
      <c r="T380" s="14" t="str">
        <f aca="true">IF(N380="","",IF(P380&lt;&gt;"",P380-N380,TODAY()-N380))</f>
        <v/>
      </c>
      <c r="U380" s="10"/>
      <c r="V380" s="14" t="str">
        <f aca="true">IF(AND(L380="Listed",N380&lt;&gt;"",P380=""),IF(TODAY()-N380&gt;=Settings!$B$6,"STALE",""),"")</f>
        <v/>
      </c>
    </row>
    <row r="381" customFormat="false" ht="15" hidden="false" customHeight="false" outlineLevel="0" collapsed="false">
      <c r="A381" s="10"/>
      <c r="B381" s="10"/>
      <c r="C381" s="10"/>
      <c r="D381" s="10"/>
      <c r="E381" s="10"/>
      <c r="F381" s="10"/>
      <c r="G381" s="10"/>
      <c r="H381" s="10"/>
      <c r="I381" s="11"/>
      <c r="J381" s="10"/>
      <c r="K381" s="10"/>
      <c r="L381" s="10"/>
      <c r="M381" s="12"/>
      <c r="N381" s="12"/>
      <c r="O381" s="11"/>
      <c r="P381" s="12"/>
      <c r="Q381" s="11"/>
      <c r="R381" s="13" t="str">
        <f aca="false">IF(Q381="","",ROUND(Q381*IFERROR(INDEX(Settings!$B$2:$B$4,MATCH(K381,Settings!$A$2:$A$4,0)),0)+IFERROR(INDEX(Settings!$C$2:$C$4,MATCH(K381,Settings!$A$2:$A$4,0)),0),2))</f>
        <v/>
      </c>
      <c r="S381" s="13" t="str">
        <f aca="false">IF(Q381="","",Q381-R381-N(I381))</f>
        <v/>
      </c>
      <c r="T381" s="14" t="str">
        <f aca="true">IF(N381="","",IF(P381&lt;&gt;"",P381-N381,TODAY()-N381))</f>
        <v/>
      </c>
      <c r="U381" s="10"/>
      <c r="V381" s="14" t="str">
        <f aca="true">IF(AND(L381="Listed",N381&lt;&gt;"",P381=""),IF(TODAY()-N381&gt;=Settings!$B$6,"STALE",""),"")</f>
        <v/>
      </c>
    </row>
    <row r="382" customFormat="false" ht="15" hidden="false" customHeight="false" outlineLevel="0" collapsed="false">
      <c r="A382" s="10"/>
      <c r="B382" s="10"/>
      <c r="C382" s="10"/>
      <c r="D382" s="10"/>
      <c r="E382" s="10"/>
      <c r="F382" s="10"/>
      <c r="G382" s="10"/>
      <c r="H382" s="10"/>
      <c r="I382" s="11"/>
      <c r="J382" s="10"/>
      <c r="K382" s="10"/>
      <c r="L382" s="10"/>
      <c r="M382" s="12"/>
      <c r="N382" s="12"/>
      <c r="O382" s="11"/>
      <c r="P382" s="12"/>
      <c r="Q382" s="11"/>
      <c r="R382" s="13" t="str">
        <f aca="false">IF(Q382="","",ROUND(Q382*IFERROR(INDEX(Settings!$B$2:$B$4,MATCH(K382,Settings!$A$2:$A$4,0)),0)+IFERROR(INDEX(Settings!$C$2:$C$4,MATCH(K382,Settings!$A$2:$A$4,0)),0),2))</f>
        <v/>
      </c>
      <c r="S382" s="13" t="str">
        <f aca="false">IF(Q382="","",Q382-R382-N(I382))</f>
        <v/>
      </c>
      <c r="T382" s="14" t="str">
        <f aca="true">IF(N382="","",IF(P382&lt;&gt;"",P382-N382,TODAY()-N382))</f>
        <v/>
      </c>
      <c r="U382" s="10"/>
      <c r="V382" s="14" t="str">
        <f aca="true">IF(AND(L382="Listed",N382&lt;&gt;"",P382=""),IF(TODAY()-N382&gt;=Settings!$B$6,"STALE",""),"")</f>
        <v/>
      </c>
    </row>
    <row r="383" customFormat="false" ht="15" hidden="false" customHeight="false" outlineLevel="0" collapsed="false">
      <c r="A383" s="10"/>
      <c r="B383" s="10"/>
      <c r="C383" s="10"/>
      <c r="D383" s="10"/>
      <c r="E383" s="10"/>
      <c r="F383" s="10"/>
      <c r="G383" s="10"/>
      <c r="H383" s="10"/>
      <c r="I383" s="11"/>
      <c r="J383" s="10"/>
      <c r="K383" s="10"/>
      <c r="L383" s="10"/>
      <c r="M383" s="12"/>
      <c r="N383" s="12"/>
      <c r="O383" s="11"/>
      <c r="P383" s="12"/>
      <c r="Q383" s="11"/>
      <c r="R383" s="13" t="str">
        <f aca="false">IF(Q383="","",ROUND(Q383*IFERROR(INDEX(Settings!$B$2:$B$4,MATCH(K383,Settings!$A$2:$A$4,0)),0)+IFERROR(INDEX(Settings!$C$2:$C$4,MATCH(K383,Settings!$A$2:$A$4,0)),0),2))</f>
        <v/>
      </c>
      <c r="S383" s="13" t="str">
        <f aca="false">IF(Q383="","",Q383-R383-N(I383))</f>
        <v/>
      </c>
      <c r="T383" s="14" t="str">
        <f aca="true">IF(N383="","",IF(P383&lt;&gt;"",P383-N383,TODAY()-N383))</f>
        <v/>
      </c>
      <c r="U383" s="10"/>
      <c r="V383" s="14" t="str">
        <f aca="true">IF(AND(L383="Listed",N383&lt;&gt;"",P383=""),IF(TODAY()-N383&gt;=Settings!$B$6,"STALE",""),"")</f>
        <v/>
      </c>
    </row>
    <row r="384" customFormat="false" ht="15" hidden="false" customHeight="false" outlineLevel="0" collapsed="false">
      <c r="A384" s="10"/>
      <c r="B384" s="10"/>
      <c r="C384" s="10"/>
      <c r="D384" s="10"/>
      <c r="E384" s="10"/>
      <c r="F384" s="10"/>
      <c r="G384" s="10"/>
      <c r="H384" s="10"/>
      <c r="I384" s="11"/>
      <c r="J384" s="10"/>
      <c r="K384" s="10"/>
      <c r="L384" s="10"/>
      <c r="M384" s="12"/>
      <c r="N384" s="12"/>
      <c r="O384" s="11"/>
      <c r="P384" s="12"/>
      <c r="Q384" s="11"/>
      <c r="R384" s="13" t="str">
        <f aca="false">IF(Q384="","",ROUND(Q384*IFERROR(INDEX(Settings!$B$2:$B$4,MATCH(K384,Settings!$A$2:$A$4,0)),0)+IFERROR(INDEX(Settings!$C$2:$C$4,MATCH(K384,Settings!$A$2:$A$4,0)),0),2))</f>
        <v/>
      </c>
      <c r="S384" s="13" t="str">
        <f aca="false">IF(Q384="","",Q384-R384-N(I384))</f>
        <v/>
      </c>
      <c r="T384" s="14" t="str">
        <f aca="true">IF(N384="","",IF(P384&lt;&gt;"",P384-N384,TODAY()-N384))</f>
        <v/>
      </c>
      <c r="U384" s="10"/>
      <c r="V384" s="14" t="str">
        <f aca="true">IF(AND(L384="Listed",N384&lt;&gt;"",P384=""),IF(TODAY()-N384&gt;=Settings!$B$6,"STALE",""),"")</f>
        <v/>
      </c>
    </row>
    <row r="385" customFormat="false" ht="15" hidden="false" customHeight="false" outlineLevel="0" collapsed="false">
      <c r="A385" s="10"/>
      <c r="B385" s="10"/>
      <c r="C385" s="10"/>
      <c r="D385" s="10"/>
      <c r="E385" s="10"/>
      <c r="F385" s="10"/>
      <c r="G385" s="10"/>
      <c r="H385" s="10"/>
      <c r="I385" s="11"/>
      <c r="J385" s="10"/>
      <c r="K385" s="10"/>
      <c r="L385" s="10"/>
      <c r="M385" s="12"/>
      <c r="N385" s="12"/>
      <c r="O385" s="11"/>
      <c r="P385" s="12"/>
      <c r="Q385" s="11"/>
      <c r="R385" s="13" t="str">
        <f aca="false">IF(Q385="","",ROUND(Q385*IFERROR(INDEX(Settings!$B$2:$B$4,MATCH(K385,Settings!$A$2:$A$4,0)),0)+IFERROR(INDEX(Settings!$C$2:$C$4,MATCH(K385,Settings!$A$2:$A$4,0)),0),2))</f>
        <v/>
      </c>
      <c r="S385" s="13" t="str">
        <f aca="false">IF(Q385="","",Q385-R385-N(I385))</f>
        <v/>
      </c>
      <c r="T385" s="14" t="str">
        <f aca="true">IF(N385="","",IF(P385&lt;&gt;"",P385-N385,TODAY()-N385))</f>
        <v/>
      </c>
      <c r="U385" s="10"/>
      <c r="V385" s="14" t="str">
        <f aca="true">IF(AND(L385="Listed",N385&lt;&gt;"",P385=""),IF(TODAY()-N385&gt;=Settings!$B$6,"STALE",""),"")</f>
        <v/>
      </c>
    </row>
    <row r="386" customFormat="false" ht="15" hidden="false" customHeight="false" outlineLevel="0" collapsed="false">
      <c r="A386" s="10"/>
      <c r="B386" s="10"/>
      <c r="C386" s="10"/>
      <c r="D386" s="10"/>
      <c r="E386" s="10"/>
      <c r="F386" s="10"/>
      <c r="G386" s="10"/>
      <c r="H386" s="10"/>
      <c r="I386" s="11"/>
      <c r="J386" s="10"/>
      <c r="K386" s="10"/>
      <c r="L386" s="10"/>
      <c r="M386" s="12"/>
      <c r="N386" s="12"/>
      <c r="O386" s="11"/>
      <c r="P386" s="12"/>
      <c r="Q386" s="11"/>
      <c r="R386" s="13" t="str">
        <f aca="false">IF(Q386="","",ROUND(Q386*IFERROR(INDEX(Settings!$B$2:$B$4,MATCH(K386,Settings!$A$2:$A$4,0)),0)+IFERROR(INDEX(Settings!$C$2:$C$4,MATCH(K386,Settings!$A$2:$A$4,0)),0),2))</f>
        <v/>
      </c>
      <c r="S386" s="13" t="str">
        <f aca="false">IF(Q386="","",Q386-R386-N(I386))</f>
        <v/>
      </c>
      <c r="T386" s="14" t="str">
        <f aca="true">IF(N386="","",IF(P386&lt;&gt;"",P386-N386,TODAY()-N386))</f>
        <v/>
      </c>
      <c r="U386" s="10"/>
      <c r="V386" s="14" t="str">
        <f aca="true">IF(AND(L386="Listed",N386&lt;&gt;"",P386=""),IF(TODAY()-N386&gt;=Settings!$B$6,"STALE",""),"")</f>
        <v/>
      </c>
    </row>
    <row r="387" customFormat="false" ht="15" hidden="false" customHeight="false" outlineLevel="0" collapsed="false">
      <c r="A387" s="10"/>
      <c r="B387" s="10"/>
      <c r="C387" s="10"/>
      <c r="D387" s="10"/>
      <c r="E387" s="10"/>
      <c r="F387" s="10"/>
      <c r="G387" s="10"/>
      <c r="H387" s="10"/>
      <c r="I387" s="11"/>
      <c r="J387" s="10"/>
      <c r="K387" s="10"/>
      <c r="L387" s="10"/>
      <c r="M387" s="12"/>
      <c r="N387" s="12"/>
      <c r="O387" s="11"/>
      <c r="P387" s="12"/>
      <c r="Q387" s="11"/>
      <c r="R387" s="13" t="str">
        <f aca="false">IF(Q387="","",ROUND(Q387*IFERROR(INDEX(Settings!$B$2:$B$4,MATCH(K387,Settings!$A$2:$A$4,0)),0)+IFERROR(INDEX(Settings!$C$2:$C$4,MATCH(K387,Settings!$A$2:$A$4,0)),0),2))</f>
        <v/>
      </c>
      <c r="S387" s="13" t="str">
        <f aca="false">IF(Q387="","",Q387-R387-N(I387))</f>
        <v/>
      </c>
      <c r="T387" s="14" t="str">
        <f aca="true">IF(N387="","",IF(P387&lt;&gt;"",P387-N387,TODAY()-N387))</f>
        <v/>
      </c>
      <c r="U387" s="10"/>
      <c r="V387" s="14" t="str">
        <f aca="true">IF(AND(L387="Listed",N387&lt;&gt;"",P387=""),IF(TODAY()-N387&gt;=Settings!$B$6,"STALE",""),"")</f>
        <v/>
      </c>
    </row>
    <row r="388" customFormat="false" ht="15" hidden="false" customHeight="false" outlineLevel="0" collapsed="false">
      <c r="A388" s="10"/>
      <c r="B388" s="10"/>
      <c r="C388" s="10"/>
      <c r="D388" s="10"/>
      <c r="E388" s="10"/>
      <c r="F388" s="10"/>
      <c r="G388" s="10"/>
      <c r="H388" s="10"/>
      <c r="I388" s="11"/>
      <c r="J388" s="10"/>
      <c r="K388" s="10"/>
      <c r="L388" s="10"/>
      <c r="M388" s="12"/>
      <c r="N388" s="12"/>
      <c r="O388" s="11"/>
      <c r="P388" s="12"/>
      <c r="Q388" s="11"/>
      <c r="R388" s="13" t="str">
        <f aca="false">IF(Q388="","",ROUND(Q388*IFERROR(INDEX(Settings!$B$2:$B$4,MATCH(K388,Settings!$A$2:$A$4,0)),0)+IFERROR(INDEX(Settings!$C$2:$C$4,MATCH(K388,Settings!$A$2:$A$4,0)),0),2))</f>
        <v/>
      </c>
      <c r="S388" s="13" t="str">
        <f aca="false">IF(Q388="","",Q388-R388-N(I388))</f>
        <v/>
      </c>
      <c r="T388" s="14" t="str">
        <f aca="true">IF(N388="","",IF(P388&lt;&gt;"",P388-N388,TODAY()-N388))</f>
        <v/>
      </c>
      <c r="U388" s="10"/>
      <c r="V388" s="14" t="str">
        <f aca="true">IF(AND(L388="Listed",N388&lt;&gt;"",P388=""),IF(TODAY()-N388&gt;=Settings!$B$6,"STALE",""),"")</f>
        <v/>
      </c>
    </row>
    <row r="389" customFormat="false" ht="15" hidden="false" customHeight="false" outlineLevel="0" collapsed="false">
      <c r="A389" s="10"/>
      <c r="B389" s="10"/>
      <c r="C389" s="10"/>
      <c r="D389" s="10"/>
      <c r="E389" s="10"/>
      <c r="F389" s="10"/>
      <c r="G389" s="10"/>
      <c r="H389" s="10"/>
      <c r="I389" s="11"/>
      <c r="J389" s="10"/>
      <c r="K389" s="10"/>
      <c r="L389" s="10"/>
      <c r="M389" s="12"/>
      <c r="N389" s="12"/>
      <c r="O389" s="11"/>
      <c r="P389" s="12"/>
      <c r="Q389" s="11"/>
      <c r="R389" s="13" t="str">
        <f aca="false">IF(Q389="","",ROUND(Q389*IFERROR(INDEX(Settings!$B$2:$B$4,MATCH(K389,Settings!$A$2:$A$4,0)),0)+IFERROR(INDEX(Settings!$C$2:$C$4,MATCH(K389,Settings!$A$2:$A$4,0)),0),2))</f>
        <v/>
      </c>
      <c r="S389" s="13" t="str">
        <f aca="false">IF(Q389="","",Q389-R389-N(I389))</f>
        <v/>
      </c>
      <c r="T389" s="14" t="str">
        <f aca="true">IF(N389="","",IF(P389&lt;&gt;"",P389-N389,TODAY()-N389))</f>
        <v/>
      </c>
      <c r="U389" s="10"/>
      <c r="V389" s="14" t="str">
        <f aca="true">IF(AND(L389="Listed",N389&lt;&gt;"",P389=""),IF(TODAY()-N389&gt;=Settings!$B$6,"STALE",""),"")</f>
        <v/>
      </c>
    </row>
    <row r="390" customFormat="false" ht="15" hidden="false" customHeight="false" outlineLevel="0" collapsed="false">
      <c r="A390" s="10"/>
      <c r="B390" s="10"/>
      <c r="C390" s="10"/>
      <c r="D390" s="10"/>
      <c r="E390" s="10"/>
      <c r="F390" s="10"/>
      <c r="G390" s="10"/>
      <c r="H390" s="10"/>
      <c r="I390" s="11"/>
      <c r="J390" s="10"/>
      <c r="K390" s="10"/>
      <c r="L390" s="10"/>
      <c r="M390" s="12"/>
      <c r="N390" s="12"/>
      <c r="O390" s="11"/>
      <c r="P390" s="12"/>
      <c r="Q390" s="11"/>
      <c r="R390" s="13" t="str">
        <f aca="false">IF(Q390="","",ROUND(Q390*IFERROR(INDEX(Settings!$B$2:$B$4,MATCH(K390,Settings!$A$2:$A$4,0)),0)+IFERROR(INDEX(Settings!$C$2:$C$4,MATCH(K390,Settings!$A$2:$A$4,0)),0),2))</f>
        <v/>
      </c>
      <c r="S390" s="13" t="str">
        <f aca="false">IF(Q390="","",Q390-R390-N(I390))</f>
        <v/>
      </c>
      <c r="T390" s="14" t="str">
        <f aca="true">IF(N390="","",IF(P390&lt;&gt;"",P390-N390,TODAY()-N390))</f>
        <v/>
      </c>
      <c r="U390" s="10"/>
      <c r="V390" s="14" t="str">
        <f aca="true">IF(AND(L390="Listed",N390&lt;&gt;"",P390=""),IF(TODAY()-N390&gt;=Settings!$B$6,"STALE",""),"")</f>
        <v/>
      </c>
    </row>
    <row r="391" customFormat="false" ht="15" hidden="false" customHeight="false" outlineLevel="0" collapsed="false">
      <c r="A391" s="10"/>
      <c r="B391" s="10"/>
      <c r="C391" s="10"/>
      <c r="D391" s="10"/>
      <c r="E391" s="10"/>
      <c r="F391" s="10"/>
      <c r="G391" s="10"/>
      <c r="H391" s="10"/>
      <c r="I391" s="11"/>
      <c r="J391" s="10"/>
      <c r="K391" s="10"/>
      <c r="L391" s="10"/>
      <c r="M391" s="12"/>
      <c r="N391" s="12"/>
      <c r="O391" s="11"/>
      <c r="P391" s="12"/>
      <c r="Q391" s="11"/>
      <c r="R391" s="13" t="str">
        <f aca="false">IF(Q391="","",ROUND(Q391*IFERROR(INDEX(Settings!$B$2:$B$4,MATCH(K391,Settings!$A$2:$A$4,0)),0)+IFERROR(INDEX(Settings!$C$2:$C$4,MATCH(K391,Settings!$A$2:$A$4,0)),0),2))</f>
        <v/>
      </c>
      <c r="S391" s="13" t="str">
        <f aca="false">IF(Q391="","",Q391-R391-N(I391))</f>
        <v/>
      </c>
      <c r="T391" s="14" t="str">
        <f aca="true">IF(N391="","",IF(P391&lt;&gt;"",P391-N391,TODAY()-N391))</f>
        <v/>
      </c>
      <c r="U391" s="10"/>
      <c r="V391" s="14" t="str">
        <f aca="true">IF(AND(L391="Listed",N391&lt;&gt;"",P391=""),IF(TODAY()-N391&gt;=Settings!$B$6,"STALE",""),"")</f>
        <v/>
      </c>
    </row>
    <row r="392" customFormat="false" ht="15" hidden="false" customHeight="false" outlineLevel="0" collapsed="false">
      <c r="A392" s="10"/>
      <c r="B392" s="10"/>
      <c r="C392" s="10"/>
      <c r="D392" s="10"/>
      <c r="E392" s="10"/>
      <c r="F392" s="10"/>
      <c r="G392" s="10"/>
      <c r="H392" s="10"/>
      <c r="I392" s="11"/>
      <c r="J392" s="10"/>
      <c r="K392" s="10"/>
      <c r="L392" s="10"/>
      <c r="M392" s="12"/>
      <c r="N392" s="12"/>
      <c r="O392" s="11"/>
      <c r="P392" s="12"/>
      <c r="Q392" s="11"/>
      <c r="R392" s="13" t="str">
        <f aca="false">IF(Q392="","",ROUND(Q392*IFERROR(INDEX(Settings!$B$2:$B$4,MATCH(K392,Settings!$A$2:$A$4,0)),0)+IFERROR(INDEX(Settings!$C$2:$C$4,MATCH(K392,Settings!$A$2:$A$4,0)),0),2))</f>
        <v/>
      </c>
      <c r="S392" s="13" t="str">
        <f aca="false">IF(Q392="","",Q392-R392-N(I392))</f>
        <v/>
      </c>
      <c r="T392" s="14" t="str">
        <f aca="true">IF(N392="","",IF(P392&lt;&gt;"",P392-N392,TODAY()-N392))</f>
        <v/>
      </c>
      <c r="U392" s="10"/>
      <c r="V392" s="14" t="str">
        <f aca="true">IF(AND(L392="Listed",N392&lt;&gt;"",P392=""),IF(TODAY()-N392&gt;=Settings!$B$6,"STALE",""),"")</f>
        <v/>
      </c>
    </row>
    <row r="393" customFormat="false" ht="15" hidden="false" customHeight="false" outlineLevel="0" collapsed="false">
      <c r="A393" s="10"/>
      <c r="B393" s="10"/>
      <c r="C393" s="10"/>
      <c r="D393" s="10"/>
      <c r="E393" s="10"/>
      <c r="F393" s="10"/>
      <c r="G393" s="10"/>
      <c r="H393" s="10"/>
      <c r="I393" s="11"/>
      <c r="J393" s="10"/>
      <c r="K393" s="10"/>
      <c r="L393" s="10"/>
      <c r="M393" s="12"/>
      <c r="N393" s="12"/>
      <c r="O393" s="11"/>
      <c r="P393" s="12"/>
      <c r="Q393" s="11"/>
      <c r="R393" s="13" t="str">
        <f aca="false">IF(Q393="","",ROUND(Q393*IFERROR(INDEX(Settings!$B$2:$B$4,MATCH(K393,Settings!$A$2:$A$4,0)),0)+IFERROR(INDEX(Settings!$C$2:$C$4,MATCH(K393,Settings!$A$2:$A$4,0)),0),2))</f>
        <v/>
      </c>
      <c r="S393" s="13" t="str">
        <f aca="false">IF(Q393="","",Q393-R393-N(I393))</f>
        <v/>
      </c>
      <c r="T393" s="14" t="str">
        <f aca="true">IF(N393="","",IF(P393&lt;&gt;"",P393-N393,TODAY()-N393))</f>
        <v/>
      </c>
      <c r="U393" s="10"/>
      <c r="V393" s="14" t="str">
        <f aca="true">IF(AND(L393="Listed",N393&lt;&gt;"",P393=""),IF(TODAY()-N393&gt;=Settings!$B$6,"STALE",""),"")</f>
        <v/>
      </c>
    </row>
    <row r="394" customFormat="false" ht="15" hidden="false" customHeight="false" outlineLevel="0" collapsed="false">
      <c r="A394" s="10"/>
      <c r="B394" s="10"/>
      <c r="C394" s="10"/>
      <c r="D394" s="10"/>
      <c r="E394" s="10"/>
      <c r="F394" s="10"/>
      <c r="G394" s="10"/>
      <c r="H394" s="10"/>
      <c r="I394" s="11"/>
      <c r="J394" s="10"/>
      <c r="K394" s="10"/>
      <c r="L394" s="10"/>
      <c r="M394" s="12"/>
      <c r="N394" s="12"/>
      <c r="O394" s="11"/>
      <c r="P394" s="12"/>
      <c r="Q394" s="11"/>
      <c r="R394" s="13" t="str">
        <f aca="false">IF(Q394="","",ROUND(Q394*IFERROR(INDEX(Settings!$B$2:$B$4,MATCH(K394,Settings!$A$2:$A$4,0)),0)+IFERROR(INDEX(Settings!$C$2:$C$4,MATCH(K394,Settings!$A$2:$A$4,0)),0),2))</f>
        <v/>
      </c>
      <c r="S394" s="13" t="str">
        <f aca="false">IF(Q394="","",Q394-R394-N(I394))</f>
        <v/>
      </c>
      <c r="T394" s="14" t="str">
        <f aca="true">IF(N394="","",IF(P394&lt;&gt;"",P394-N394,TODAY()-N394))</f>
        <v/>
      </c>
      <c r="U394" s="10"/>
      <c r="V394" s="14" t="str">
        <f aca="true">IF(AND(L394="Listed",N394&lt;&gt;"",P394=""),IF(TODAY()-N394&gt;=Settings!$B$6,"STALE",""),"")</f>
        <v/>
      </c>
    </row>
    <row r="395" customFormat="false" ht="15" hidden="false" customHeight="false" outlineLevel="0" collapsed="false">
      <c r="A395" s="10"/>
      <c r="B395" s="10"/>
      <c r="C395" s="10"/>
      <c r="D395" s="10"/>
      <c r="E395" s="10"/>
      <c r="F395" s="10"/>
      <c r="G395" s="10"/>
      <c r="H395" s="10"/>
      <c r="I395" s="11"/>
      <c r="J395" s="10"/>
      <c r="K395" s="10"/>
      <c r="L395" s="10"/>
      <c r="M395" s="12"/>
      <c r="N395" s="12"/>
      <c r="O395" s="11"/>
      <c r="P395" s="12"/>
      <c r="Q395" s="11"/>
      <c r="R395" s="13" t="str">
        <f aca="false">IF(Q395="","",ROUND(Q395*IFERROR(INDEX(Settings!$B$2:$B$4,MATCH(K395,Settings!$A$2:$A$4,0)),0)+IFERROR(INDEX(Settings!$C$2:$C$4,MATCH(K395,Settings!$A$2:$A$4,0)),0),2))</f>
        <v/>
      </c>
      <c r="S395" s="13" t="str">
        <f aca="false">IF(Q395="","",Q395-R395-N(I395))</f>
        <v/>
      </c>
      <c r="T395" s="14" t="str">
        <f aca="true">IF(N395="","",IF(P395&lt;&gt;"",P395-N395,TODAY()-N395))</f>
        <v/>
      </c>
      <c r="U395" s="10"/>
      <c r="V395" s="14" t="str">
        <f aca="true">IF(AND(L395="Listed",N395&lt;&gt;"",P395=""),IF(TODAY()-N395&gt;=Settings!$B$6,"STALE",""),"")</f>
        <v/>
      </c>
    </row>
    <row r="396" customFormat="false" ht="15" hidden="false" customHeight="false" outlineLevel="0" collapsed="false">
      <c r="A396" s="10"/>
      <c r="B396" s="10"/>
      <c r="C396" s="10"/>
      <c r="D396" s="10"/>
      <c r="E396" s="10"/>
      <c r="F396" s="10"/>
      <c r="G396" s="10"/>
      <c r="H396" s="10"/>
      <c r="I396" s="11"/>
      <c r="J396" s="10"/>
      <c r="K396" s="10"/>
      <c r="L396" s="10"/>
      <c r="M396" s="12"/>
      <c r="N396" s="12"/>
      <c r="O396" s="11"/>
      <c r="P396" s="12"/>
      <c r="Q396" s="11"/>
      <c r="R396" s="13" t="str">
        <f aca="false">IF(Q396="","",ROUND(Q396*IFERROR(INDEX(Settings!$B$2:$B$4,MATCH(K396,Settings!$A$2:$A$4,0)),0)+IFERROR(INDEX(Settings!$C$2:$C$4,MATCH(K396,Settings!$A$2:$A$4,0)),0),2))</f>
        <v/>
      </c>
      <c r="S396" s="13" t="str">
        <f aca="false">IF(Q396="","",Q396-R396-N(I396))</f>
        <v/>
      </c>
      <c r="T396" s="14" t="str">
        <f aca="true">IF(N396="","",IF(P396&lt;&gt;"",P396-N396,TODAY()-N396))</f>
        <v/>
      </c>
      <c r="U396" s="10"/>
      <c r="V396" s="14" t="str">
        <f aca="true">IF(AND(L396="Listed",N396&lt;&gt;"",P396=""),IF(TODAY()-N396&gt;=Settings!$B$6,"STALE",""),"")</f>
        <v/>
      </c>
    </row>
    <row r="397" customFormat="false" ht="15" hidden="false" customHeight="false" outlineLevel="0" collapsed="false">
      <c r="A397" s="10"/>
      <c r="B397" s="10"/>
      <c r="C397" s="10"/>
      <c r="D397" s="10"/>
      <c r="E397" s="10"/>
      <c r="F397" s="10"/>
      <c r="G397" s="10"/>
      <c r="H397" s="10"/>
      <c r="I397" s="11"/>
      <c r="J397" s="10"/>
      <c r="K397" s="10"/>
      <c r="L397" s="10"/>
      <c r="M397" s="12"/>
      <c r="N397" s="12"/>
      <c r="O397" s="11"/>
      <c r="P397" s="12"/>
      <c r="Q397" s="11"/>
      <c r="R397" s="13" t="str">
        <f aca="false">IF(Q397="","",ROUND(Q397*IFERROR(INDEX(Settings!$B$2:$B$4,MATCH(K397,Settings!$A$2:$A$4,0)),0)+IFERROR(INDEX(Settings!$C$2:$C$4,MATCH(K397,Settings!$A$2:$A$4,0)),0),2))</f>
        <v/>
      </c>
      <c r="S397" s="13" t="str">
        <f aca="false">IF(Q397="","",Q397-R397-N(I397))</f>
        <v/>
      </c>
      <c r="T397" s="14" t="str">
        <f aca="true">IF(N397="","",IF(P397&lt;&gt;"",P397-N397,TODAY()-N397))</f>
        <v/>
      </c>
      <c r="U397" s="10"/>
      <c r="V397" s="14" t="str">
        <f aca="true">IF(AND(L397="Listed",N397&lt;&gt;"",P397=""),IF(TODAY()-N397&gt;=Settings!$B$6,"STALE",""),"")</f>
        <v/>
      </c>
    </row>
    <row r="398" customFormat="false" ht="15" hidden="false" customHeight="false" outlineLevel="0" collapsed="false">
      <c r="A398" s="10"/>
      <c r="B398" s="10"/>
      <c r="C398" s="10"/>
      <c r="D398" s="10"/>
      <c r="E398" s="10"/>
      <c r="F398" s="10"/>
      <c r="G398" s="10"/>
      <c r="H398" s="10"/>
      <c r="I398" s="11"/>
      <c r="J398" s="10"/>
      <c r="K398" s="10"/>
      <c r="L398" s="10"/>
      <c r="M398" s="12"/>
      <c r="N398" s="12"/>
      <c r="O398" s="11"/>
      <c r="P398" s="12"/>
      <c r="Q398" s="11"/>
      <c r="R398" s="13" t="str">
        <f aca="false">IF(Q398="","",ROUND(Q398*IFERROR(INDEX(Settings!$B$2:$B$4,MATCH(K398,Settings!$A$2:$A$4,0)),0)+IFERROR(INDEX(Settings!$C$2:$C$4,MATCH(K398,Settings!$A$2:$A$4,0)),0),2))</f>
        <v/>
      </c>
      <c r="S398" s="13" t="str">
        <f aca="false">IF(Q398="","",Q398-R398-N(I398))</f>
        <v/>
      </c>
      <c r="T398" s="14" t="str">
        <f aca="true">IF(N398="","",IF(P398&lt;&gt;"",P398-N398,TODAY()-N398))</f>
        <v/>
      </c>
      <c r="U398" s="10"/>
      <c r="V398" s="14" t="str">
        <f aca="true">IF(AND(L398="Listed",N398&lt;&gt;"",P398=""),IF(TODAY()-N398&gt;=Settings!$B$6,"STALE",""),"")</f>
        <v/>
      </c>
    </row>
    <row r="399" customFormat="false" ht="15" hidden="false" customHeight="false" outlineLevel="0" collapsed="false">
      <c r="A399" s="10"/>
      <c r="B399" s="10"/>
      <c r="C399" s="10"/>
      <c r="D399" s="10"/>
      <c r="E399" s="10"/>
      <c r="F399" s="10"/>
      <c r="G399" s="10"/>
      <c r="H399" s="10"/>
      <c r="I399" s="11"/>
      <c r="J399" s="10"/>
      <c r="K399" s="10"/>
      <c r="L399" s="10"/>
      <c r="M399" s="12"/>
      <c r="N399" s="12"/>
      <c r="O399" s="11"/>
      <c r="P399" s="12"/>
      <c r="Q399" s="11"/>
      <c r="R399" s="13" t="str">
        <f aca="false">IF(Q399="","",ROUND(Q399*IFERROR(INDEX(Settings!$B$2:$B$4,MATCH(K399,Settings!$A$2:$A$4,0)),0)+IFERROR(INDEX(Settings!$C$2:$C$4,MATCH(K399,Settings!$A$2:$A$4,0)),0),2))</f>
        <v/>
      </c>
      <c r="S399" s="13" t="str">
        <f aca="false">IF(Q399="","",Q399-R399-N(I399))</f>
        <v/>
      </c>
      <c r="T399" s="14" t="str">
        <f aca="true">IF(N399="","",IF(P399&lt;&gt;"",P399-N399,TODAY()-N399))</f>
        <v/>
      </c>
      <c r="U399" s="10"/>
      <c r="V399" s="14" t="str">
        <f aca="true">IF(AND(L399="Listed",N399&lt;&gt;"",P399=""),IF(TODAY()-N399&gt;=Settings!$B$6,"STALE",""),"")</f>
        <v/>
      </c>
    </row>
    <row r="400" customFormat="false" ht="15" hidden="false" customHeight="false" outlineLevel="0" collapsed="false">
      <c r="A400" s="10"/>
      <c r="B400" s="10"/>
      <c r="C400" s="10"/>
      <c r="D400" s="10"/>
      <c r="E400" s="10"/>
      <c r="F400" s="10"/>
      <c r="G400" s="10"/>
      <c r="H400" s="10"/>
      <c r="I400" s="11"/>
      <c r="J400" s="10"/>
      <c r="K400" s="10"/>
      <c r="L400" s="10"/>
      <c r="M400" s="12"/>
      <c r="N400" s="12"/>
      <c r="O400" s="11"/>
      <c r="P400" s="12"/>
      <c r="Q400" s="11"/>
      <c r="R400" s="13" t="str">
        <f aca="false">IF(Q400="","",ROUND(Q400*IFERROR(INDEX(Settings!$B$2:$B$4,MATCH(K400,Settings!$A$2:$A$4,0)),0)+IFERROR(INDEX(Settings!$C$2:$C$4,MATCH(K400,Settings!$A$2:$A$4,0)),0),2))</f>
        <v/>
      </c>
      <c r="S400" s="13" t="str">
        <f aca="false">IF(Q400="","",Q400-R400-N(I400))</f>
        <v/>
      </c>
      <c r="T400" s="14" t="str">
        <f aca="true">IF(N400="","",IF(P400&lt;&gt;"",P400-N400,TODAY()-N400))</f>
        <v/>
      </c>
      <c r="U400" s="10"/>
      <c r="V400" s="14" t="str">
        <f aca="true">IF(AND(L400="Listed",N400&lt;&gt;"",P400=""),IF(TODAY()-N400&gt;=Settings!$B$6,"STALE",""),"")</f>
        <v/>
      </c>
    </row>
    <row r="401" customFormat="false" ht="15" hidden="false" customHeight="false" outlineLevel="0" collapsed="false">
      <c r="A401" s="10"/>
      <c r="B401" s="10"/>
      <c r="C401" s="10"/>
      <c r="D401" s="10"/>
      <c r="E401" s="10"/>
      <c r="F401" s="10"/>
      <c r="G401" s="10"/>
      <c r="H401" s="10"/>
      <c r="I401" s="11"/>
      <c r="J401" s="10"/>
      <c r="K401" s="10"/>
      <c r="L401" s="10"/>
      <c r="M401" s="12"/>
      <c r="N401" s="12"/>
      <c r="O401" s="11"/>
      <c r="P401" s="12"/>
      <c r="Q401" s="11"/>
      <c r="R401" s="13" t="str">
        <f aca="false">IF(Q401="","",ROUND(Q401*IFERROR(INDEX(Settings!$B$2:$B$4,MATCH(K401,Settings!$A$2:$A$4,0)),0)+IFERROR(INDEX(Settings!$C$2:$C$4,MATCH(K401,Settings!$A$2:$A$4,0)),0),2))</f>
        <v/>
      </c>
      <c r="S401" s="13" t="str">
        <f aca="false">IF(Q401="","",Q401-R401-N(I401))</f>
        <v/>
      </c>
      <c r="T401" s="14" t="str">
        <f aca="true">IF(N401="","",IF(P401&lt;&gt;"",P401-N401,TODAY()-N401))</f>
        <v/>
      </c>
      <c r="U401" s="10"/>
      <c r="V401" s="14" t="str">
        <f aca="true">IF(AND(L401="Listed",N401&lt;&gt;"",P401=""),IF(TODAY()-N401&gt;=Settings!$B$6,"STALE",""),"")</f>
        <v/>
      </c>
    </row>
    <row r="402" customFormat="false" ht="15" hidden="false" customHeight="false" outlineLevel="0" collapsed="false">
      <c r="A402" s="10"/>
      <c r="B402" s="10"/>
      <c r="C402" s="10"/>
      <c r="D402" s="10"/>
      <c r="E402" s="10"/>
      <c r="F402" s="10"/>
      <c r="G402" s="10"/>
      <c r="H402" s="10"/>
      <c r="I402" s="11"/>
      <c r="J402" s="10"/>
      <c r="K402" s="10"/>
      <c r="L402" s="10"/>
      <c r="M402" s="12"/>
      <c r="N402" s="12"/>
      <c r="O402" s="11"/>
      <c r="P402" s="12"/>
      <c r="Q402" s="11"/>
      <c r="R402" s="13" t="str">
        <f aca="false">IF(Q402="","",ROUND(Q402*IFERROR(INDEX(Settings!$B$2:$B$4,MATCH(K402,Settings!$A$2:$A$4,0)),0)+IFERROR(INDEX(Settings!$C$2:$C$4,MATCH(K402,Settings!$A$2:$A$4,0)),0),2))</f>
        <v/>
      </c>
      <c r="S402" s="13" t="str">
        <f aca="false">IF(Q402="","",Q402-R402-N(I402))</f>
        <v/>
      </c>
      <c r="T402" s="14" t="str">
        <f aca="true">IF(N402="","",IF(P402&lt;&gt;"",P402-N402,TODAY()-N402))</f>
        <v/>
      </c>
      <c r="U402" s="10"/>
      <c r="V402" s="14" t="str">
        <f aca="true">IF(AND(L402="Listed",N402&lt;&gt;"",P402=""),IF(TODAY()-N402&gt;=Settings!$B$6,"STALE",""),"")</f>
        <v/>
      </c>
    </row>
    <row r="403" customFormat="false" ht="15" hidden="false" customHeight="false" outlineLevel="0" collapsed="false">
      <c r="A403" s="10"/>
      <c r="B403" s="10"/>
      <c r="C403" s="10"/>
      <c r="D403" s="10"/>
      <c r="E403" s="10"/>
      <c r="F403" s="10"/>
      <c r="G403" s="10"/>
      <c r="H403" s="10"/>
      <c r="I403" s="11"/>
      <c r="J403" s="10"/>
      <c r="K403" s="10"/>
      <c r="L403" s="10"/>
      <c r="M403" s="12"/>
      <c r="N403" s="12"/>
      <c r="O403" s="11"/>
      <c r="P403" s="12"/>
      <c r="Q403" s="11"/>
      <c r="R403" s="13" t="str">
        <f aca="false">IF(Q403="","",ROUND(Q403*IFERROR(INDEX(Settings!$B$2:$B$4,MATCH(K403,Settings!$A$2:$A$4,0)),0)+IFERROR(INDEX(Settings!$C$2:$C$4,MATCH(K403,Settings!$A$2:$A$4,0)),0),2))</f>
        <v/>
      </c>
      <c r="S403" s="13" t="str">
        <f aca="false">IF(Q403="","",Q403-R403-N(I403))</f>
        <v/>
      </c>
      <c r="T403" s="14" t="str">
        <f aca="true">IF(N403="","",IF(P403&lt;&gt;"",P403-N403,TODAY()-N403))</f>
        <v/>
      </c>
      <c r="U403" s="10"/>
      <c r="V403" s="14" t="str">
        <f aca="true">IF(AND(L403="Listed",N403&lt;&gt;"",P403=""),IF(TODAY()-N403&gt;=Settings!$B$6,"STALE",""),"")</f>
        <v/>
      </c>
    </row>
    <row r="404" customFormat="false" ht="15" hidden="false" customHeight="false" outlineLevel="0" collapsed="false">
      <c r="A404" s="10"/>
      <c r="B404" s="10"/>
      <c r="C404" s="10"/>
      <c r="D404" s="10"/>
      <c r="E404" s="10"/>
      <c r="F404" s="10"/>
      <c r="G404" s="10"/>
      <c r="H404" s="10"/>
      <c r="I404" s="11"/>
      <c r="J404" s="10"/>
      <c r="K404" s="10"/>
      <c r="L404" s="10"/>
      <c r="M404" s="12"/>
      <c r="N404" s="12"/>
      <c r="O404" s="11"/>
      <c r="P404" s="12"/>
      <c r="Q404" s="11"/>
      <c r="R404" s="13" t="str">
        <f aca="false">IF(Q404="","",ROUND(Q404*IFERROR(INDEX(Settings!$B$2:$B$4,MATCH(K404,Settings!$A$2:$A$4,0)),0)+IFERROR(INDEX(Settings!$C$2:$C$4,MATCH(K404,Settings!$A$2:$A$4,0)),0),2))</f>
        <v/>
      </c>
      <c r="S404" s="13" t="str">
        <f aca="false">IF(Q404="","",Q404-R404-N(I404))</f>
        <v/>
      </c>
      <c r="T404" s="14" t="str">
        <f aca="true">IF(N404="","",IF(P404&lt;&gt;"",P404-N404,TODAY()-N404))</f>
        <v/>
      </c>
      <c r="U404" s="10"/>
      <c r="V404" s="14" t="str">
        <f aca="true">IF(AND(L404="Listed",N404&lt;&gt;"",P404=""),IF(TODAY()-N404&gt;=Settings!$B$6,"STALE",""),"")</f>
        <v/>
      </c>
    </row>
    <row r="405" customFormat="false" ht="15" hidden="false" customHeight="false" outlineLevel="0" collapsed="false">
      <c r="A405" s="10"/>
      <c r="B405" s="10"/>
      <c r="C405" s="10"/>
      <c r="D405" s="10"/>
      <c r="E405" s="10"/>
      <c r="F405" s="10"/>
      <c r="G405" s="10"/>
      <c r="H405" s="10"/>
      <c r="I405" s="11"/>
      <c r="J405" s="10"/>
      <c r="K405" s="10"/>
      <c r="L405" s="10"/>
      <c r="M405" s="12"/>
      <c r="N405" s="12"/>
      <c r="O405" s="11"/>
      <c r="P405" s="12"/>
      <c r="Q405" s="11"/>
      <c r="R405" s="13" t="str">
        <f aca="false">IF(Q405="","",ROUND(Q405*IFERROR(INDEX(Settings!$B$2:$B$4,MATCH(K405,Settings!$A$2:$A$4,0)),0)+IFERROR(INDEX(Settings!$C$2:$C$4,MATCH(K405,Settings!$A$2:$A$4,0)),0),2))</f>
        <v/>
      </c>
      <c r="S405" s="13" t="str">
        <f aca="false">IF(Q405="","",Q405-R405-N(I405))</f>
        <v/>
      </c>
      <c r="T405" s="14" t="str">
        <f aca="true">IF(N405="","",IF(P405&lt;&gt;"",P405-N405,TODAY()-N405))</f>
        <v/>
      </c>
      <c r="U405" s="10"/>
      <c r="V405" s="14" t="str">
        <f aca="true">IF(AND(L405="Listed",N405&lt;&gt;"",P405=""),IF(TODAY()-N405&gt;=Settings!$B$6,"STALE",""),"")</f>
        <v/>
      </c>
    </row>
    <row r="406" customFormat="false" ht="15" hidden="false" customHeight="false" outlineLevel="0" collapsed="false">
      <c r="A406" s="10"/>
      <c r="B406" s="10"/>
      <c r="C406" s="10"/>
      <c r="D406" s="10"/>
      <c r="E406" s="10"/>
      <c r="F406" s="10"/>
      <c r="G406" s="10"/>
      <c r="H406" s="10"/>
      <c r="I406" s="11"/>
      <c r="J406" s="10"/>
      <c r="K406" s="10"/>
      <c r="L406" s="10"/>
      <c r="M406" s="12"/>
      <c r="N406" s="12"/>
      <c r="O406" s="11"/>
      <c r="P406" s="12"/>
      <c r="Q406" s="11"/>
      <c r="R406" s="13" t="str">
        <f aca="false">IF(Q406="","",ROUND(Q406*IFERROR(INDEX(Settings!$B$2:$B$4,MATCH(K406,Settings!$A$2:$A$4,0)),0)+IFERROR(INDEX(Settings!$C$2:$C$4,MATCH(K406,Settings!$A$2:$A$4,0)),0),2))</f>
        <v/>
      </c>
      <c r="S406" s="13" t="str">
        <f aca="false">IF(Q406="","",Q406-R406-N(I406))</f>
        <v/>
      </c>
      <c r="T406" s="14" t="str">
        <f aca="true">IF(N406="","",IF(P406&lt;&gt;"",P406-N406,TODAY()-N406))</f>
        <v/>
      </c>
      <c r="U406" s="10"/>
      <c r="V406" s="14" t="str">
        <f aca="true">IF(AND(L406="Listed",N406&lt;&gt;"",P406=""),IF(TODAY()-N406&gt;=Settings!$B$6,"STALE",""),"")</f>
        <v/>
      </c>
    </row>
    <row r="407" customFormat="false" ht="15" hidden="false" customHeight="false" outlineLevel="0" collapsed="false">
      <c r="A407" s="10"/>
      <c r="B407" s="10"/>
      <c r="C407" s="10"/>
      <c r="D407" s="10"/>
      <c r="E407" s="10"/>
      <c r="F407" s="10"/>
      <c r="G407" s="10"/>
      <c r="H407" s="10"/>
      <c r="I407" s="11"/>
      <c r="J407" s="10"/>
      <c r="K407" s="10"/>
      <c r="L407" s="10"/>
      <c r="M407" s="12"/>
      <c r="N407" s="12"/>
      <c r="O407" s="11"/>
      <c r="P407" s="12"/>
      <c r="Q407" s="11"/>
      <c r="R407" s="13" t="str">
        <f aca="false">IF(Q407="","",ROUND(Q407*IFERROR(INDEX(Settings!$B$2:$B$4,MATCH(K407,Settings!$A$2:$A$4,0)),0)+IFERROR(INDEX(Settings!$C$2:$C$4,MATCH(K407,Settings!$A$2:$A$4,0)),0),2))</f>
        <v/>
      </c>
      <c r="S407" s="13" t="str">
        <f aca="false">IF(Q407="","",Q407-R407-N(I407))</f>
        <v/>
      </c>
      <c r="T407" s="14" t="str">
        <f aca="true">IF(N407="","",IF(P407&lt;&gt;"",P407-N407,TODAY()-N407))</f>
        <v/>
      </c>
      <c r="U407" s="10"/>
      <c r="V407" s="14" t="str">
        <f aca="true">IF(AND(L407="Listed",N407&lt;&gt;"",P407=""),IF(TODAY()-N407&gt;=Settings!$B$6,"STALE",""),"")</f>
        <v/>
      </c>
    </row>
    <row r="408" customFormat="false" ht="15" hidden="false" customHeight="false" outlineLevel="0" collapsed="false">
      <c r="A408" s="10"/>
      <c r="B408" s="10"/>
      <c r="C408" s="10"/>
      <c r="D408" s="10"/>
      <c r="E408" s="10"/>
      <c r="F408" s="10"/>
      <c r="G408" s="10"/>
      <c r="H408" s="10"/>
      <c r="I408" s="11"/>
      <c r="J408" s="10"/>
      <c r="K408" s="10"/>
      <c r="L408" s="10"/>
      <c r="M408" s="12"/>
      <c r="N408" s="12"/>
      <c r="O408" s="11"/>
      <c r="P408" s="12"/>
      <c r="Q408" s="11"/>
      <c r="R408" s="13" t="str">
        <f aca="false">IF(Q408="","",ROUND(Q408*IFERROR(INDEX(Settings!$B$2:$B$4,MATCH(K408,Settings!$A$2:$A$4,0)),0)+IFERROR(INDEX(Settings!$C$2:$C$4,MATCH(K408,Settings!$A$2:$A$4,0)),0),2))</f>
        <v/>
      </c>
      <c r="S408" s="13" t="str">
        <f aca="false">IF(Q408="","",Q408-R408-N(I408))</f>
        <v/>
      </c>
      <c r="T408" s="14" t="str">
        <f aca="true">IF(N408="","",IF(P408&lt;&gt;"",P408-N408,TODAY()-N408))</f>
        <v/>
      </c>
      <c r="U408" s="10"/>
      <c r="V408" s="14" t="str">
        <f aca="true">IF(AND(L408="Listed",N408&lt;&gt;"",P408=""),IF(TODAY()-N408&gt;=Settings!$B$6,"STALE",""),"")</f>
        <v/>
      </c>
    </row>
    <row r="409" customFormat="false" ht="15" hidden="false" customHeight="false" outlineLevel="0" collapsed="false">
      <c r="A409" s="10"/>
      <c r="B409" s="10"/>
      <c r="C409" s="10"/>
      <c r="D409" s="10"/>
      <c r="E409" s="10"/>
      <c r="F409" s="10"/>
      <c r="G409" s="10"/>
      <c r="H409" s="10"/>
      <c r="I409" s="11"/>
      <c r="J409" s="10"/>
      <c r="K409" s="10"/>
      <c r="L409" s="10"/>
      <c r="M409" s="12"/>
      <c r="N409" s="12"/>
      <c r="O409" s="11"/>
      <c r="P409" s="12"/>
      <c r="Q409" s="11"/>
      <c r="R409" s="13" t="str">
        <f aca="false">IF(Q409="","",ROUND(Q409*IFERROR(INDEX(Settings!$B$2:$B$4,MATCH(K409,Settings!$A$2:$A$4,0)),0)+IFERROR(INDEX(Settings!$C$2:$C$4,MATCH(K409,Settings!$A$2:$A$4,0)),0),2))</f>
        <v/>
      </c>
      <c r="S409" s="13" t="str">
        <f aca="false">IF(Q409="","",Q409-R409-N(I409))</f>
        <v/>
      </c>
      <c r="T409" s="14" t="str">
        <f aca="true">IF(N409="","",IF(P409&lt;&gt;"",P409-N409,TODAY()-N409))</f>
        <v/>
      </c>
      <c r="U409" s="10"/>
      <c r="V409" s="14" t="str">
        <f aca="true">IF(AND(L409="Listed",N409&lt;&gt;"",P409=""),IF(TODAY()-N409&gt;=Settings!$B$6,"STALE",""),"")</f>
        <v/>
      </c>
    </row>
    <row r="410" customFormat="false" ht="15" hidden="false" customHeight="false" outlineLevel="0" collapsed="false">
      <c r="A410" s="10"/>
      <c r="B410" s="10"/>
      <c r="C410" s="10"/>
      <c r="D410" s="10"/>
      <c r="E410" s="10"/>
      <c r="F410" s="10"/>
      <c r="G410" s="10"/>
      <c r="H410" s="10"/>
      <c r="I410" s="11"/>
      <c r="J410" s="10"/>
      <c r="K410" s="10"/>
      <c r="L410" s="10"/>
      <c r="M410" s="12"/>
      <c r="N410" s="12"/>
      <c r="O410" s="11"/>
      <c r="P410" s="12"/>
      <c r="Q410" s="11"/>
      <c r="R410" s="13" t="str">
        <f aca="false">IF(Q410="","",ROUND(Q410*IFERROR(INDEX(Settings!$B$2:$B$4,MATCH(K410,Settings!$A$2:$A$4,0)),0)+IFERROR(INDEX(Settings!$C$2:$C$4,MATCH(K410,Settings!$A$2:$A$4,0)),0),2))</f>
        <v/>
      </c>
      <c r="S410" s="13" t="str">
        <f aca="false">IF(Q410="","",Q410-R410-N(I410))</f>
        <v/>
      </c>
      <c r="T410" s="14" t="str">
        <f aca="true">IF(N410="","",IF(P410&lt;&gt;"",P410-N410,TODAY()-N410))</f>
        <v/>
      </c>
      <c r="U410" s="10"/>
      <c r="V410" s="14" t="str">
        <f aca="true">IF(AND(L410="Listed",N410&lt;&gt;"",P410=""),IF(TODAY()-N410&gt;=Settings!$B$6,"STALE",""),"")</f>
        <v/>
      </c>
    </row>
    <row r="411" customFormat="false" ht="15" hidden="false" customHeight="false" outlineLevel="0" collapsed="false">
      <c r="A411" s="10"/>
      <c r="B411" s="10"/>
      <c r="C411" s="10"/>
      <c r="D411" s="10"/>
      <c r="E411" s="10"/>
      <c r="F411" s="10"/>
      <c r="G411" s="10"/>
      <c r="H411" s="10"/>
      <c r="I411" s="11"/>
      <c r="J411" s="10"/>
      <c r="K411" s="10"/>
      <c r="L411" s="10"/>
      <c r="M411" s="12"/>
      <c r="N411" s="12"/>
      <c r="O411" s="11"/>
      <c r="P411" s="12"/>
      <c r="Q411" s="11"/>
      <c r="R411" s="13" t="str">
        <f aca="false">IF(Q411="","",ROUND(Q411*IFERROR(INDEX(Settings!$B$2:$B$4,MATCH(K411,Settings!$A$2:$A$4,0)),0)+IFERROR(INDEX(Settings!$C$2:$C$4,MATCH(K411,Settings!$A$2:$A$4,0)),0),2))</f>
        <v/>
      </c>
      <c r="S411" s="13" t="str">
        <f aca="false">IF(Q411="","",Q411-R411-N(I411))</f>
        <v/>
      </c>
      <c r="T411" s="14" t="str">
        <f aca="true">IF(N411="","",IF(P411&lt;&gt;"",P411-N411,TODAY()-N411))</f>
        <v/>
      </c>
      <c r="U411" s="10"/>
      <c r="V411" s="14" t="str">
        <f aca="true">IF(AND(L411="Listed",N411&lt;&gt;"",P411=""),IF(TODAY()-N411&gt;=Settings!$B$6,"STALE",""),"")</f>
        <v/>
      </c>
    </row>
    <row r="412" customFormat="false" ht="15" hidden="false" customHeight="false" outlineLevel="0" collapsed="false">
      <c r="A412" s="10"/>
      <c r="B412" s="10"/>
      <c r="C412" s="10"/>
      <c r="D412" s="10"/>
      <c r="E412" s="10"/>
      <c r="F412" s="10"/>
      <c r="G412" s="10"/>
      <c r="H412" s="10"/>
      <c r="I412" s="11"/>
      <c r="J412" s="10"/>
      <c r="K412" s="10"/>
      <c r="L412" s="10"/>
      <c r="M412" s="12"/>
      <c r="N412" s="12"/>
      <c r="O412" s="11"/>
      <c r="P412" s="12"/>
      <c r="Q412" s="11"/>
      <c r="R412" s="13" t="str">
        <f aca="false">IF(Q412="","",ROUND(Q412*IFERROR(INDEX(Settings!$B$2:$B$4,MATCH(K412,Settings!$A$2:$A$4,0)),0)+IFERROR(INDEX(Settings!$C$2:$C$4,MATCH(K412,Settings!$A$2:$A$4,0)),0),2))</f>
        <v/>
      </c>
      <c r="S412" s="13" t="str">
        <f aca="false">IF(Q412="","",Q412-R412-N(I412))</f>
        <v/>
      </c>
      <c r="T412" s="14" t="str">
        <f aca="true">IF(N412="","",IF(P412&lt;&gt;"",P412-N412,TODAY()-N412))</f>
        <v/>
      </c>
      <c r="U412" s="10"/>
      <c r="V412" s="14" t="str">
        <f aca="true">IF(AND(L412="Listed",N412&lt;&gt;"",P412=""),IF(TODAY()-N412&gt;=Settings!$B$6,"STALE",""),"")</f>
        <v/>
      </c>
    </row>
    <row r="413" customFormat="false" ht="15" hidden="false" customHeight="false" outlineLevel="0" collapsed="false">
      <c r="A413" s="10"/>
      <c r="B413" s="10"/>
      <c r="C413" s="10"/>
      <c r="D413" s="10"/>
      <c r="E413" s="10"/>
      <c r="F413" s="10"/>
      <c r="G413" s="10"/>
      <c r="H413" s="10"/>
      <c r="I413" s="11"/>
      <c r="J413" s="10"/>
      <c r="K413" s="10"/>
      <c r="L413" s="10"/>
      <c r="M413" s="12"/>
      <c r="N413" s="12"/>
      <c r="O413" s="11"/>
      <c r="P413" s="12"/>
      <c r="Q413" s="11"/>
      <c r="R413" s="13" t="str">
        <f aca="false">IF(Q413="","",ROUND(Q413*IFERROR(INDEX(Settings!$B$2:$B$4,MATCH(K413,Settings!$A$2:$A$4,0)),0)+IFERROR(INDEX(Settings!$C$2:$C$4,MATCH(K413,Settings!$A$2:$A$4,0)),0),2))</f>
        <v/>
      </c>
      <c r="S413" s="13" t="str">
        <f aca="false">IF(Q413="","",Q413-R413-N(I413))</f>
        <v/>
      </c>
      <c r="T413" s="14" t="str">
        <f aca="true">IF(N413="","",IF(P413&lt;&gt;"",P413-N413,TODAY()-N413))</f>
        <v/>
      </c>
      <c r="U413" s="10"/>
      <c r="V413" s="14" t="str">
        <f aca="true">IF(AND(L413="Listed",N413&lt;&gt;"",P413=""),IF(TODAY()-N413&gt;=Settings!$B$6,"STALE",""),"")</f>
        <v/>
      </c>
    </row>
    <row r="414" customFormat="false" ht="15" hidden="false" customHeight="false" outlineLevel="0" collapsed="false">
      <c r="A414" s="10"/>
      <c r="B414" s="10"/>
      <c r="C414" s="10"/>
      <c r="D414" s="10"/>
      <c r="E414" s="10"/>
      <c r="F414" s="10"/>
      <c r="G414" s="10"/>
      <c r="H414" s="10"/>
      <c r="I414" s="11"/>
      <c r="J414" s="10"/>
      <c r="K414" s="10"/>
      <c r="L414" s="10"/>
      <c r="M414" s="12"/>
      <c r="N414" s="12"/>
      <c r="O414" s="11"/>
      <c r="P414" s="12"/>
      <c r="Q414" s="11"/>
      <c r="R414" s="13" t="str">
        <f aca="false">IF(Q414="","",ROUND(Q414*IFERROR(INDEX(Settings!$B$2:$B$4,MATCH(K414,Settings!$A$2:$A$4,0)),0)+IFERROR(INDEX(Settings!$C$2:$C$4,MATCH(K414,Settings!$A$2:$A$4,0)),0),2))</f>
        <v/>
      </c>
      <c r="S414" s="13" t="str">
        <f aca="false">IF(Q414="","",Q414-R414-N(I414))</f>
        <v/>
      </c>
      <c r="T414" s="14" t="str">
        <f aca="true">IF(N414="","",IF(P414&lt;&gt;"",P414-N414,TODAY()-N414))</f>
        <v/>
      </c>
      <c r="U414" s="10"/>
      <c r="V414" s="14" t="str">
        <f aca="true">IF(AND(L414="Listed",N414&lt;&gt;"",P414=""),IF(TODAY()-N414&gt;=Settings!$B$6,"STALE",""),"")</f>
        <v/>
      </c>
    </row>
    <row r="415" customFormat="false" ht="15" hidden="false" customHeight="false" outlineLevel="0" collapsed="false">
      <c r="A415" s="10"/>
      <c r="B415" s="10"/>
      <c r="C415" s="10"/>
      <c r="D415" s="10"/>
      <c r="E415" s="10"/>
      <c r="F415" s="10"/>
      <c r="G415" s="10"/>
      <c r="H415" s="10"/>
      <c r="I415" s="11"/>
      <c r="J415" s="10"/>
      <c r="K415" s="10"/>
      <c r="L415" s="10"/>
      <c r="M415" s="12"/>
      <c r="N415" s="12"/>
      <c r="O415" s="11"/>
      <c r="P415" s="12"/>
      <c r="Q415" s="11"/>
      <c r="R415" s="13" t="str">
        <f aca="false">IF(Q415="","",ROUND(Q415*IFERROR(INDEX(Settings!$B$2:$B$4,MATCH(K415,Settings!$A$2:$A$4,0)),0)+IFERROR(INDEX(Settings!$C$2:$C$4,MATCH(K415,Settings!$A$2:$A$4,0)),0),2))</f>
        <v/>
      </c>
      <c r="S415" s="13" t="str">
        <f aca="false">IF(Q415="","",Q415-R415-N(I415))</f>
        <v/>
      </c>
      <c r="T415" s="14" t="str">
        <f aca="true">IF(N415="","",IF(P415&lt;&gt;"",P415-N415,TODAY()-N415))</f>
        <v/>
      </c>
      <c r="U415" s="10"/>
      <c r="V415" s="14" t="str">
        <f aca="true">IF(AND(L415="Listed",N415&lt;&gt;"",P415=""),IF(TODAY()-N415&gt;=Settings!$B$6,"STALE",""),"")</f>
        <v/>
      </c>
    </row>
    <row r="416" customFormat="false" ht="15" hidden="false" customHeight="false" outlineLevel="0" collapsed="false">
      <c r="A416" s="10"/>
      <c r="B416" s="10"/>
      <c r="C416" s="10"/>
      <c r="D416" s="10"/>
      <c r="E416" s="10"/>
      <c r="F416" s="10"/>
      <c r="G416" s="10"/>
      <c r="H416" s="10"/>
      <c r="I416" s="11"/>
      <c r="J416" s="10"/>
      <c r="K416" s="10"/>
      <c r="L416" s="10"/>
      <c r="M416" s="12"/>
      <c r="N416" s="12"/>
      <c r="O416" s="11"/>
      <c r="P416" s="12"/>
      <c r="Q416" s="11"/>
      <c r="R416" s="13" t="str">
        <f aca="false">IF(Q416="","",ROUND(Q416*IFERROR(INDEX(Settings!$B$2:$B$4,MATCH(K416,Settings!$A$2:$A$4,0)),0)+IFERROR(INDEX(Settings!$C$2:$C$4,MATCH(K416,Settings!$A$2:$A$4,0)),0),2))</f>
        <v/>
      </c>
      <c r="S416" s="13" t="str">
        <f aca="false">IF(Q416="","",Q416-R416-N(I416))</f>
        <v/>
      </c>
      <c r="T416" s="14" t="str">
        <f aca="true">IF(N416="","",IF(P416&lt;&gt;"",P416-N416,TODAY()-N416))</f>
        <v/>
      </c>
      <c r="U416" s="10"/>
      <c r="V416" s="14" t="str">
        <f aca="true">IF(AND(L416="Listed",N416&lt;&gt;"",P416=""),IF(TODAY()-N416&gt;=Settings!$B$6,"STALE",""),"")</f>
        <v/>
      </c>
    </row>
    <row r="417" customFormat="false" ht="15" hidden="false" customHeight="false" outlineLevel="0" collapsed="false">
      <c r="A417" s="10"/>
      <c r="B417" s="10"/>
      <c r="C417" s="10"/>
      <c r="D417" s="10"/>
      <c r="E417" s="10"/>
      <c r="F417" s="10"/>
      <c r="G417" s="10"/>
      <c r="H417" s="10"/>
      <c r="I417" s="11"/>
      <c r="J417" s="10"/>
      <c r="K417" s="10"/>
      <c r="L417" s="10"/>
      <c r="M417" s="12"/>
      <c r="N417" s="12"/>
      <c r="O417" s="11"/>
      <c r="P417" s="12"/>
      <c r="Q417" s="11"/>
      <c r="R417" s="13" t="str">
        <f aca="false">IF(Q417="","",ROUND(Q417*IFERROR(INDEX(Settings!$B$2:$B$4,MATCH(K417,Settings!$A$2:$A$4,0)),0)+IFERROR(INDEX(Settings!$C$2:$C$4,MATCH(K417,Settings!$A$2:$A$4,0)),0),2))</f>
        <v/>
      </c>
      <c r="S417" s="13" t="str">
        <f aca="false">IF(Q417="","",Q417-R417-N(I417))</f>
        <v/>
      </c>
      <c r="T417" s="14" t="str">
        <f aca="true">IF(N417="","",IF(P417&lt;&gt;"",P417-N417,TODAY()-N417))</f>
        <v/>
      </c>
      <c r="U417" s="10"/>
      <c r="V417" s="14" t="str">
        <f aca="true">IF(AND(L417="Listed",N417&lt;&gt;"",P417=""),IF(TODAY()-N417&gt;=Settings!$B$6,"STALE",""),"")</f>
        <v/>
      </c>
    </row>
    <row r="418" customFormat="false" ht="15" hidden="false" customHeight="false" outlineLevel="0" collapsed="false">
      <c r="A418" s="10"/>
      <c r="B418" s="10"/>
      <c r="C418" s="10"/>
      <c r="D418" s="10"/>
      <c r="E418" s="10"/>
      <c r="F418" s="10"/>
      <c r="G418" s="10"/>
      <c r="H418" s="10"/>
      <c r="I418" s="11"/>
      <c r="J418" s="10"/>
      <c r="K418" s="10"/>
      <c r="L418" s="10"/>
      <c r="M418" s="12"/>
      <c r="N418" s="12"/>
      <c r="O418" s="11"/>
      <c r="P418" s="12"/>
      <c r="Q418" s="11"/>
      <c r="R418" s="13" t="str">
        <f aca="false">IF(Q418="","",ROUND(Q418*IFERROR(INDEX(Settings!$B$2:$B$4,MATCH(K418,Settings!$A$2:$A$4,0)),0)+IFERROR(INDEX(Settings!$C$2:$C$4,MATCH(K418,Settings!$A$2:$A$4,0)),0),2))</f>
        <v/>
      </c>
      <c r="S418" s="13" t="str">
        <f aca="false">IF(Q418="","",Q418-R418-N(I418))</f>
        <v/>
      </c>
      <c r="T418" s="14" t="str">
        <f aca="true">IF(N418="","",IF(P418&lt;&gt;"",P418-N418,TODAY()-N418))</f>
        <v/>
      </c>
      <c r="U418" s="10"/>
      <c r="V418" s="14" t="str">
        <f aca="true">IF(AND(L418="Listed",N418&lt;&gt;"",P418=""),IF(TODAY()-N418&gt;=Settings!$B$6,"STALE",""),"")</f>
        <v/>
      </c>
    </row>
    <row r="419" customFormat="false" ht="15" hidden="false" customHeight="false" outlineLevel="0" collapsed="false">
      <c r="A419" s="10"/>
      <c r="B419" s="10"/>
      <c r="C419" s="10"/>
      <c r="D419" s="10"/>
      <c r="E419" s="10"/>
      <c r="F419" s="10"/>
      <c r="G419" s="10"/>
      <c r="H419" s="10"/>
      <c r="I419" s="11"/>
      <c r="J419" s="10"/>
      <c r="K419" s="10"/>
      <c r="L419" s="10"/>
      <c r="M419" s="12"/>
      <c r="N419" s="12"/>
      <c r="O419" s="11"/>
      <c r="P419" s="12"/>
      <c r="Q419" s="11"/>
      <c r="R419" s="13" t="str">
        <f aca="false">IF(Q419="","",ROUND(Q419*IFERROR(INDEX(Settings!$B$2:$B$4,MATCH(K419,Settings!$A$2:$A$4,0)),0)+IFERROR(INDEX(Settings!$C$2:$C$4,MATCH(K419,Settings!$A$2:$A$4,0)),0),2))</f>
        <v/>
      </c>
      <c r="S419" s="13" t="str">
        <f aca="false">IF(Q419="","",Q419-R419-N(I419))</f>
        <v/>
      </c>
      <c r="T419" s="14" t="str">
        <f aca="true">IF(N419="","",IF(P419&lt;&gt;"",P419-N419,TODAY()-N419))</f>
        <v/>
      </c>
      <c r="U419" s="10"/>
      <c r="V419" s="14" t="str">
        <f aca="true">IF(AND(L419="Listed",N419&lt;&gt;"",P419=""),IF(TODAY()-N419&gt;=Settings!$B$6,"STALE",""),"")</f>
        <v/>
      </c>
    </row>
    <row r="420" customFormat="false" ht="15" hidden="false" customHeight="false" outlineLevel="0" collapsed="false">
      <c r="A420" s="10"/>
      <c r="B420" s="10"/>
      <c r="C420" s="10"/>
      <c r="D420" s="10"/>
      <c r="E420" s="10"/>
      <c r="F420" s="10"/>
      <c r="G420" s="10"/>
      <c r="H420" s="10"/>
      <c r="I420" s="11"/>
      <c r="J420" s="10"/>
      <c r="K420" s="10"/>
      <c r="L420" s="10"/>
      <c r="M420" s="12"/>
      <c r="N420" s="12"/>
      <c r="O420" s="11"/>
      <c r="P420" s="12"/>
      <c r="Q420" s="11"/>
      <c r="R420" s="13" t="str">
        <f aca="false">IF(Q420="","",ROUND(Q420*IFERROR(INDEX(Settings!$B$2:$B$4,MATCH(K420,Settings!$A$2:$A$4,0)),0)+IFERROR(INDEX(Settings!$C$2:$C$4,MATCH(K420,Settings!$A$2:$A$4,0)),0),2))</f>
        <v/>
      </c>
      <c r="S420" s="13" t="str">
        <f aca="false">IF(Q420="","",Q420-R420-N(I420))</f>
        <v/>
      </c>
      <c r="T420" s="14" t="str">
        <f aca="true">IF(N420="","",IF(P420&lt;&gt;"",P420-N420,TODAY()-N420))</f>
        <v/>
      </c>
      <c r="U420" s="10"/>
      <c r="V420" s="14" t="str">
        <f aca="true">IF(AND(L420="Listed",N420&lt;&gt;"",P420=""),IF(TODAY()-N420&gt;=Settings!$B$6,"STALE",""),"")</f>
        <v/>
      </c>
    </row>
    <row r="421" customFormat="false" ht="15" hidden="false" customHeight="false" outlineLevel="0" collapsed="false">
      <c r="A421" s="10"/>
      <c r="B421" s="10"/>
      <c r="C421" s="10"/>
      <c r="D421" s="10"/>
      <c r="E421" s="10"/>
      <c r="F421" s="10"/>
      <c r="G421" s="10"/>
      <c r="H421" s="10"/>
      <c r="I421" s="11"/>
      <c r="J421" s="10"/>
      <c r="K421" s="10"/>
      <c r="L421" s="10"/>
      <c r="M421" s="12"/>
      <c r="N421" s="12"/>
      <c r="O421" s="11"/>
      <c r="P421" s="12"/>
      <c r="Q421" s="11"/>
      <c r="R421" s="13" t="str">
        <f aca="false">IF(Q421="","",ROUND(Q421*IFERROR(INDEX(Settings!$B$2:$B$4,MATCH(K421,Settings!$A$2:$A$4,0)),0)+IFERROR(INDEX(Settings!$C$2:$C$4,MATCH(K421,Settings!$A$2:$A$4,0)),0),2))</f>
        <v/>
      </c>
      <c r="S421" s="13" t="str">
        <f aca="false">IF(Q421="","",Q421-R421-N(I421))</f>
        <v/>
      </c>
      <c r="T421" s="14" t="str">
        <f aca="true">IF(N421="","",IF(P421&lt;&gt;"",P421-N421,TODAY()-N421))</f>
        <v/>
      </c>
      <c r="U421" s="10"/>
      <c r="V421" s="14" t="str">
        <f aca="true">IF(AND(L421="Listed",N421&lt;&gt;"",P421=""),IF(TODAY()-N421&gt;=Settings!$B$6,"STALE",""),"")</f>
        <v/>
      </c>
    </row>
    <row r="422" customFormat="false" ht="15" hidden="false" customHeight="false" outlineLevel="0" collapsed="false">
      <c r="A422" s="10"/>
      <c r="B422" s="10"/>
      <c r="C422" s="10"/>
      <c r="D422" s="10"/>
      <c r="E422" s="10"/>
      <c r="F422" s="10"/>
      <c r="G422" s="10"/>
      <c r="H422" s="10"/>
      <c r="I422" s="11"/>
      <c r="J422" s="10"/>
      <c r="K422" s="10"/>
      <c r="L422" s="10"/>
      <c r="M422" s="12"/>
      <c r="N422" s="12"/>
      <c r="O422" s="11"/>
      <c r="P422" s="12"/>
      <c r="Q422" s="11"/>
      <c r="R422" s="13" t="str">
        <f aca="false">IF(Q422="","",ROUND(Q422*IFERROR(INDEX(Settings!$B$2:$B$4,MATCH(K422,Settings!$A$2:$A$4,0)),0)+IFERROR(INDEX(Settings!$C$2:$C$4,MATCH(K422,Settings!$A$2:$A$4,0)),0),2))</f>
        <v/>
      </c>
      <c r="S422" s="13" t="str">
        <f aca="false">IF(Q422="","",Q422-R422-N(I422))</f>
        <v/>
      </c>
      <c r="T422" s="14" t="str">
        <f aca="true">IF(N422="","",IF(P422&lt;&gt;"",P422-N422,TODAY()-N422))</f>
        <v/>
      </c>
      <c r="U422" s="10"/>
      <c r="V422" s="14" t="str">
        <f aca="true">IF(AND(L422="Listed",N422&lt;&gt;"",P422=""),IF(TODAY()-N422&gt;=Settings!$B$6,"STALE",""),"")</f>
        <v/>
      </c>
    </row>
    <row r="423" customFormat="false" ht="15" hidden="false" customHeight="false" outlineLevel="0" collapsed="false">
      <c r="A423" s="10"/>
      <c r="B423" s="10"/>
      <c r="C423" s="10"/>
      <c r="D423" s="10"/>
      <c r="E423" s="10"/>
      <c r="F423" s="10"/>
      <c r="G423" s="10"/>
      <c r="H423" s="10"/>
      <c r="I423" s="11"/>
      <c r="J423" s="10"/>
      <c r="K423" s="10"/>
      <c r="L423" s="10"/>
      <c r="M423" s="12"/>
      <c r="N423" s="12"/>
      <c r="O423" s="11"/>
      <c r="P423" s="12"/>
      <c r="Q423" s="11"/>
      <c r="R423" s="13" t="str">
        <f aca="false">IF(Q423="","",ROUND(Q423*IFERROR(INDEX(Settings!$B$2:$B$4,MATCH(K423,Settings!$A$2:$A$4,0)),0)+IFERROR(INDEX(Settings!$C$2:$C$4,MATCH(K423,Settings!$A$2:$A$4,0)),0),2))</f>
        <v/>
      </c>
      <c r="S423" s="13" t="str">
        <f aca="false">IF(Q423="","",Q423-R423-N(I423))</f>
        <v/>
      </c>
      <c r="T423" s="14" t="str">
        <f aca="true">IF(N423="","",IF(P423&lt;&gt;"",P423-N423,TODAY()-N423))</f>
        <v/>
      </c>
      <c r="U423" s="10"/>
      <c r="V423" s="14" t="str">
        <f aca="true">IF(AND(L423="Listed",N423&lt;&gt;"",P423=""),IF(TODAY()-N423&gt;=Settings!$B$6,"STALE",""),"")</f>
        <v/>
      </c>
    </row>
    <row r="424" customFormat="false" ht="15" hidden="false" customHeight="false" outlineLevel="0" collapsed="false">
      <c r="A424" s="10"/>
      <c r="B424" s="10"/>
      <c r="C424" s="10"/>
      <c r="D424" s="10"/>
      <c r="E424" s="10"/>
      <c r="F424" s="10"/>
      <c r="G424" s="10"/>
      <c r="H424" s="10"/>
      <c r="I424" s="11"/>
      <c r="J424" s="10"/>
      <c r="K424" s="10"/>
      <c r="L424" s="10"/>
      <c r="M424" s="12"/>
      <c r="N424" s="12"/>
      <c r="O424" s="11"/>
      <c r="P424" s="12"/>
      <c r="Q424" s="11"/>
      <c r="R424" s="13" t="str">
        <f aca="false">IF(Q424="","",ROUND(Q424*IFERROR(INDEX(Settings!$B$2:$B$4,MATCH(K424,Settings!$A$2:$A$4,0)),0)+IFERROR(INDEX(Settings!$C$2:$C$4,MATCH(K424,Settings!$A$2:$A$4,0)),0),2))</f>
        <v/>
      </c>
      <c r="S424" s="13" t="str">
        <f aca="false">IF(Q424="","",Q424-R424-N(I424))</f>
        <v/>
      </c>
      <c r="T424" s="14" t="str">
        <f aca="true">IF(N424="","",IF(P424&lt;&gt;"",P424-N424,TODAY()-N424))</f>
        <v/>
      </c>
      <c r="U424" s="10"/>
      <c r="V424" s="14" t="str">
        <f aca="true">IF(AND(L424="Listed",N424&lt;&gt;"",P424=""),IF(TODAY()-N424&gt;=Settings!$B$6,"STALE",""),"")</f>
        <v/>
      </c>
    </row>
    <row r="425" customFormat="false" ht="15" hidden="false" customHeight="false" outlineLevel="0" collapsed="false">
      <c r="A425" s="10"/>
      <c r="B425" s="10"/>
      <c r="C425" s="10"/>
      <c r="D425" s="10"/>
      <c r="E425" s="10"/>
      <c r="F425" s="10"/>
      <c r="G425" s="10"/>
      <c r="H425" s="10"/>
      <c r="I425" s="11"/>
      <c r="J425" s="10"/>
      <c r="K425" s="10"/>
      <c r="L425" s="10"/>
      <c r="M425" s="12"/>
      <c r="N425" s="12"/>
      <c r="O425" s="11"/>
      <c r="P425" s="12"/>
      <c r="Q425" s="11"/>
      <c r="R425" s="13" t="str">
        <f aca="false">IF(Q425="","",ROUND(Q425*IFERROR(INDEX(Settings!$B$2:$B$4,MATCH(K425,Settings!$A$2:$A$4,0)),0)+IFERROR(INDEX(Settings!$C$2:$C$4,MATCH(K425,Settings!$A$2:$A$4,0)),0),2))</f>
        <v/>
      </c>
      <c r="S425" s="13" t="str">
        <f aca="false">IF(Q425="","",Q425-R425-N(I425))</f>
        <v/>
      </c>
      <c r="T425" s="14" t="str">
        <f aca="true">IF(N425="","",IF(P425&lt;&gt;"",P425-N425,TODAY()-N425))</f>
        <v/>
      </c>
      <c r="U425" s="10"/>
      <c r="V425" s="14" t="str">
        <f aca="true">IF(AND(L425="Listed",N425&lt;&gt;"",P425=""),IF(TODAY()-N425&gt;=Settings!$B$6,"STALE",""),"")</f>
        <v/>
      </c>
    </row>
    <row r="426" customFormat="false" ht="15" hidden="false" customHeight="false" outlineLevel="0" collapsed="false">
      <c r="A426" s="10"/>
      <c r="B426" s="10"/>
      <c r="C426" s="10"/>
      <c r="D426" s="10"/>
      <c r="E426" s="10"/>
      <c r="F426" s="10"/>
      <c r="G426" s="10"/>
      <c r="H426" s="10"/>
      <c r="I426" s="11"/>
      <c r="J426" s="10"/>
      <c r="K426" s="10"/>
      <c r="L426" s="10"/>
      <c r="M426" s="12"/>
      <c r="N426" s="12"/>
      <c r="O426" s="11"/>
      <c r="P426" s="12"/>
      <c r="Q426" s="11"/>
      <c r="R426" s="13" t="str">
        <f aca="false">IF(Q426="","",ROUND(Q426*IFERROR(INDEX(Settings!$B$2:$B$4,MATCH(K426,Settings!$A$2:$A$4,0)),0)+IFERROR(INDEX(Settings!$C$2:$C$4,MATCH(K426,Settings!$A$2:$A$4,0)),0),2))</f>
        <v/>
      </c>
      <c r="S426" s="13" t="str">
        <f aca="false">IF(Q426="","",Q426-R426-N(I426))</f>
        <v/>
      </c>
      <c r="T426" s="14" t="str">
        <f aca="true">IF(N426="","",IF(P426&lt;&gt;"",P426-N426,TODAY()-N426))</f>
        <v/>
      </c>
      <c r="U426" s="10"/>
      <c r="V426" s="14" t="str">
        <f aca="true">IF(AND(L426="Listed",N426&lt;&gt;"",P426=""),IF(TODAY()-N426&gt;=Settings!$B$6,"STALE",""),"")</f>
        <v/>
      </c>
    </row>
    <row r="427" customFormat="false" ht="15" hidden="false" customHeight="false" outlineLevel="0" collapsed="false">
      <c r="A427" s="10"/>
      <c r="B427" s="10"/>
      <c r="C427" s="10"/>
      <c r="D427" s="10"/>
      <c r="E427" s="10"/>
      <c r="F427" s="10"/>
      <c r="G427" s="10"/>
      <c r="H427" s="10"/>
      <c r="I427" s="11"/>
      <c r="J427" s="10"/>
      <c r="K427" s="10"/>
      <c r="L427" s="10"/>
      <c r="M427" s="12"/>
      <c r="N427" s="12"/>
      <c r="O427" s="11"/>
      <c r="P427" s="12"/>
      <c r="Q427" s="11"/>
      <c r="R427" s="13" t="str">
        <f aca="false">IF(Q427="","",ROUND(Q427*IFERROR(INDEX(Settings!$B$2:$B$4,MATCH(K427,Settings!$A$2:$A$4,0)),0)+IFERROR(INDEX(Settings!$C$2:$C$4,MATCH(K427,Settings!$A$2:$A$4,0)),0),2))</f>
        <v/>
      </c>
      <c r="S427" s="13" t="str">
        <f aca="false">IF(Q427="","",Q427-R427-N(I427))</f>
        <v/>
      </c>
      <c r="T427" s="14" t="str">
        <f aca="true">IF(N427="","",IF(P427&lt;&gt;"",P427-N427,TODAY()-N427))</f>
        <v/>
      </c>
      <c r="U427" s="10"/>
      <c r="V427" s="14" t="str">
        <f aca="true">IF(AND(L427="Listed",N427&lt;&gt;"",P427=""),IF(TODAY()-N427&gt;=Settings!$B$6,"STALE",""),"")</f>
        <v/>
      </c>
    </row>
    <row r="428" customFormat="false" ht="15" hidden="false" customHeight="false" outlineLevel="0" collapsed="false">
      <c r="A428" s="10"/>
      <c r="B428" s="10"/>
      <c r="C428" s="10"/>
      <c r="D428" s="10"/>
      <c r="E428" s="10"/>
      <c r="F428" s="10"/>
      <c r="G428" s="10"/>
      <c r="H428" s="10"/>
      <c r="I428" s="11"/>
      <c r="J428" s="10"/>
      <c r="K428" s="10"/>
      <c r="L428" s="10"/>
      <c r="M428" s="12"/>
      <c r="N428" s="12"/>
      <c r="O428" s="11"/>
      <c r="P428" s="12"/>
      <c r="Q428" s="11"/>
      <c r="R428" s="13" t="str">
        <f aca="false">IF(Q428="","",ROUND(Q428*IFERROR(INDEX(Settings!$B$2:$B$4,MATCH(K428,Settings!$A$2:$A$4,0)),0)+IFERROR(INDEX(Settings!$C$2:$C$4,MATCH(K428,Settings!$A$2:$A$4,0)),0),2))</f>
        <v/>
      </c>
      <c r="S428" s="13" t="str">
        <f aca="false">IF(Q428="","",Q428-R428-N(I428))</f>
        <v/>
      </c>
      <c r="T428" s="14" t="str">
        <f aca="true">IF(N428="","",IF(P428&lt;&gt;"",P428-N428,TODAY()-N428))</f>
        <v/>
      </c>
      <c r="U428" s="10"/>
      <c r="V428" s="14" t="str">
        <f aca="true">IF(AND(L428="Listed",N428&lt;&gt;"",P428=""),IF(TODAY()-N428&gt;=Settings!$B$6,"STALE",""),"")</f>
        <v/>
      </c>
    </row>
    <row r="429" customFormat="false" ht="15" hidden="false" customHeight="false" outlineLevel="0" collapsed="false">
      <c r="A429" s="10"/>
      <c r="B429" s="10"/>
      <c r="C429" s="10"/>
      <c r="D429" s="10"/>
      <c r="E429" s="10"/>
      <c r="F429" s="10"/>
      <c r="G429" s="10"/>
      <c r="H429" s="10"/>
      <c r="I429" s="11"/>
      <c r="J429" s="10"/>
      <c r="K429" s="10"/>
      <c r="L429" s="10"/>
      <c r="M429" s="12"/>
      <c r="N429" s="12"/>
      <c r="O429" s="11"/>
      <c r="P429" s="12"/>
      <c r="Q429" s="11"/>
      <c r="R429" s="13" t="str">
        <f aca="false">IF(Q429="","",ROUND(Q429*IFERROR(INDEX(Settings!$B$2:$B$4,MATCH(K429,Settings!$A$2:$A$4,0)),0)+IFERROR(INDEX(Settings!$C$2:$C$4,MATCH(K429,Settings!$A$2:$A$4,0)),0),2))</f>
        <v/>
      </c>
      <c r="S429" s="13" t="str">
        <f aca="false">IF(Q429="","",Q429-R429-N(I429))</f>
        <v/>
      </c>
      <c r="T429" s="14" t="str">
        <f aca="true">IF(N429="","",IF(P429&lt;&gt;"",P429-N429,TODAY()-N429))</f>
        <v/>
      </c>
      <c r="U429" s="10"/>
      <c r="V429" s="14" t="str">
        <f aca="true">IF(AND(L429="Listed",N429&lt;&gt;"",P429=""),IF(TODAY()-N429&gt;=Settings!$B$6,"STALE",""),"")</f>
        <v/>
      </c>
    </row>
    <row r="430" customFormat="false" ht="15" hidden="false" customHeight="false" outlineLevel="0" collapsed="false">
      <c r="A430" s="10"/>
      <c r="B430" s="10"/>
      <c r="C430" s="10"/>
      <c r="D430" s="10"/>
      <c r="E430" s="10"/>
      <c r="F430" s="10"/>
      <c r="G430" s="10"/>
      <c r="H430" s="10"/>
      <c r="I430" s="11"/>
      <c r="J430" s="10"/>
      <c r="K430" s="10"/>
      <c r="L430" s="10"/>
      <c r="M430" s="12"/>
      <c r="N430" s="12"/>
      <c r="O430" s="11"/>
      <c r="P430" s="12"/>
      <c r="Q430" s="11"/>
      <c r="R430" s="13" t="str">
        <f aca="false">IF(Q430="","",ROUND(Q430*IFERROR(INDEX(Settings!$B$2:$B$4,MATCH(K430,Settings!$A$2:$A$4,0)),0)+IFERROR(INDEX(Settings!$C$2:$C$4,MATCH(K430,Settings!$A$2:$A$4,0)),0),2))</f>
        <v/>
      </c>
      <c r="S430" s="13" t="str">
        <f aca="false">IF(Q430="","",Q430-R430-N(I430))</f>
        <v/>
      </c>
      <c r="T430" s="14" t="str">
        <f aca="true">IF(N430="","",IF(P430&lt;&gt;"",P430-N430,TODAY()-N430))</f>
        <v/>
      </c>
      <c r="U430" s="10"/>
      <c r="V430" s="14" t="str">
        <f aca="true">IF(AND(L430="Listed",N430&lt;&gt;"",P430=""),IF(TODAY()-N430&gt;=Settings!$B$6,"STALE",""),"")</f>
        <v/>
      </c>
    </row>
    <row r="431" customFormat="false" ht="15" hidden="false" customHeight="false" outlineLevel="0" collapsed="false">
      <c r="A431" s="10"/>
      <c r="B431" s="10"/>
      <c r="C431" s="10"/>
      <c r="D431" s="10"/>
      <c r="E431" s="10"/>
      <c r="F431" s="10"/>
      <c r="G431" s="10"/>
      <c r="H431" s="10"/>
      <c r="I431" s="11"/>
      <c r="J431" s="10"/>
      <c r="K431" s="10"/>
      <c r="L431" s="10"/>
      <c r="M431" s="12"/>
      <c r="N431" s="12"/>
      <c r="O431" s="11"/>
      <c r="P431" s="12"/>
      <c r="Q431" s="11"/>
      <c r="R431" s="13" t="str">
        <f aca="false">IF(Q431="","",ROUND(Q431*IFERROR(INDEX(Settings!$B$2:$B$4,MATCH(K431,Settings!$A$2:$A$4,0)),0)+IFERROR(INDEX(Settings!$C$2:$C$4,MATCH(K431,Settings!$A$2:$A$4,0)),0),2))</f>
        <v/>
      </c>
      <c r="S431" s="13" t="str">
        <f aca="false">IF(Q431="","",Q431-R431-N(I431))</f>
        <v/>
      </c>
      <c r="T431" s="14" t="str">
        <f aca="true">IF(N431="","",IF(P431&lt;&gt;"",P431-N431,TODAY()-N431))</f>
        <v/>
      </c>
      <c r="U431" s="10"/>
      <c r="V431" s="14" t="str">
        <f aca="true">IF(AND(L431="Listed",N431&lt;&gt;"",P431=""),IF(TODAY()-N431&gt;=Settings!$B$6,"STALE",""),"")</f>
        <v/>
      </c>
    </row>
    <row r="432" customFormat="false" ht="15" hidden="false" customHeight="false" outlineLevel="0" collapsed="false">
      <c r="A432" s="10"/>
      <c r="B432" s="10"/>
      <c r="C432" s="10"/>
      <c r="D432" s="10"/>
      <c r="E432" s="10"/>
      <c r="F432" s="10"/>
      <c r="G432" s="10"/>
      <c r="H432" s="10"/>
      <c r="I432" s="11"/>
      <c r="J432" s="10"/>
      <c r="K432" s="10"/>
      <c r="L432" s="10"/>
      <c r="M432" s="12"/>
      <c r="N432" s="12"/>
      <c r="O432" s="11"/>
      <c r="P432" s="12"/>
      <c r="Q432" s="11"/>
      <c r="R432" s="13" t="str">
        <f aca="false">IF(Q432="","",ROUND(Q432*IFERROR(INDEX(Settings!$B$2:$B$4,MATCH(K432,Settings!$A$2:$A$4,0)),0)+IFERROR(INDEX(Settings!$C$2:$C$4,MATCH(K432,Settings!$A$2:$A$4,0)),0),2))</f>
        <v/>
      </c>
      <c r="S432" s="13" t="str">
        <f aca="false">IF(Q432="","",Q432-R432-N(I432))</f>
        <v/>
      </c>
      <c r="T432" s="14" t="str">
        <f aca="true">IF(N432="","",IF(P432&lt;&gt;"",P432-N432,TODAY()-N432))</f>
        <v/>
      </c>
      <c r="U432" s="10"/>
      <c r="V432" s="14" t="str">
        <f aca="true">IF(AND(L432="Listed",N432&lt;&gt;"",P432=""),IF(TODAY()-N432&gt;=Settings!$B$6,"STALE",""),"")</f>
        <v/>
      </c>
    </row>
    <row r="433" customFormat="false" ht="15" hidden="false" customHeight="false" outlineLevel="0" collapsed="false">
      <c r="A433" s="10"/>
      <c r="B433" s="10"/>
      <c r="C433" s="10"/>
      <c r="D433" s="10"/>
      <c r="E433" s="10"/>
      <c r="F433" s="10"/>
      <c r="G433" s="10"/>
      <c r="H433" s="10"/>
      <c r="I433" s="11"/>
      <c r="J433" s="10"/>
      <c r="K433" s="10"/>
      <c r="L433" s="10"/>
      <c r="M433" s="12"/>
      <c r="N433" s="12"/>
      <c r="O433" s="11"/>
      <c r="P433" s="12"/>
      <c r="Q433" s="11"/>
      <c r="R433" s="13" t="str">
        <f aca="false">IF(Q433="","",ROUND(Q433*IFERROR(INDEX(Settings!$B$2:$B$4,MATCH(K433,Settings!$A$2:$A$4,0)),0)+IFERROR(INDEX(Settings!$C$2:$C$4,MATCH(K433,Settings!$A$2:$A$4,0)),0),2))</f>
        <v/>
      </c>
      <c r="S433" s="13" t="str">
        <f aca="false">IF(Q433="","",Q433-R433-N(I433))</f>
        <v/>
      </c>
      <c r="T433" s="14" t="str">
        <f aca="true">IF(N433="","",IF(P433&lt;&gt;"",P433-N433,TODAY()-N433))</f>
        <v/>
      </c>
      <c r="U433" s="10"/>
      <c r="V433" s="14" t="str">
        <f aca="true">IF(AND(L433="Listed",N433&lt;&gt;"",P433=""),IF(TODAY()-N433&gt;=Settings!$B$6,"STALE",""),"")</f>
        <v/>
      </c>
    </row>
    <row r="434" customFormat="false" ht="15" hidden="false" customHeight="false" outlineLevel="0" collapsed="false">
      <c r="A434" s="10"/>
      <c r="B434" s="10"/>
      <c r="C434" s="10"/>
      <c r="D434" s="10"/>
      <c r="E434" s="10"/>
      <c r="F434" s="10"/>
      <c r="G434" s="10"/>
      <c r="H434" s="10"/>
      <c r="I434" s="11"/>
      <c r="J434" s="10"/>
      <c r="K434" s="10"/>
      <c r="L434" s="10"/>
      <c r="M434" s="12"/>
      <c r="N434" s="12"/>
      <c r="O434" s="11"/>
      <c r="P434" s="12"/>
      <c r="Q434" s="11"/>
      <c r="R434" s="13" t="str">
        <f aca="false">IF(Q434="","",ROUND(Q434*IFERROR(INDEX(Settings!$B$2:$B$4,MATCH(K434,Settings!$A$2:$A$4,0)),0)+IFERROR(INDEX(Settings!$C$2:$C$4,MATCH(K434,Settings!$A$2:$A$4,0)),0),2))</f>
        <v/>
      </c>
      <c r="S434" s="13" t="str">
        <f aca="false">IF(Q434="","",Q434-R434-N(I434))</f>
        <v/>
      </c>
      <c r="T434" s="14" t="str">
        <f aca="true">IF(N434="","",IF(P434&lt;&gt;"",P434-N434,TODAY()-N434))</f>
        <v/>
      </c>
      <c r="U434" s="10"/>
      <c r="V434" s="14" t="str">
        <f aca="true">IF(AND(L434="Listed",N434&lt;&gt;"",P434=""),IF(TODAY()-N434&gt;=Settings!$B$6,"STALE",""),"")</f>
        <v/>
      </c>
    </row>
    <row r="435" customFormat="false" ht="15" hidden="false" customHeight="false" outlineLevel="0" collapsed="false">
      <c r="A435" s="10"/>
      <c r="B435" s="10"/>
      <c r="C435" s="10"/>
      <c r="D435" s="10"/>
      <c r="E435" s="10"/>
      <c r="F435" s="10"/>
      <c r="G435" s="10"/>
      <c r="H435" s="10"/>
      <c r="I435" s="11"/>
      <c r="J435" s="10"/>
      <c r="K435" s="10"/>
      <c r="L435" s="10"/>
      <c r="M435" s="12"/>
      <c r="N435" s="12"/>
      <c r="O435" s="11"/>
      <c r="P435" s="12"/>
      <c r="Q435" s="11"/>
      <c r="R435" s="13" t="str">
        <f aca="false">IF(Q435="","",ROUND(Q435*IFERROR(INDEX(Settings!$B$2:$B$4,MATCH(K435,Settings!$A$2:$A$4,0)),0)+IFERROR(INDEX(Settings!$C$2:$C$4,MATCH(K435,Settings!$A$2:$A$4,0)),0),2))</f>
        <v/>
      </c>
      <c r="S435" s="13" t="str">
        <f aca="false">IF(Q435="","",Q435-R435-N(I435))</f>
        <v/>
      </c>
      <c r="T435" s="14" t="str">
        <f aca="true">IF(N435="","",IF(P435&lt;&gt;"",P435-N435,TODAY()-N435))</f>
        <v/>
      </c>
      <c r="U435" s="10"/>
      <c r="V435" s="14" t="str">
        <f aca="true">IF(AND(L435="Listed",N435&lt;&gt;"",P435=""),IF(TODAY()-N435&gt;=Settings!$B$6,"STALE",""),"")</f>
        <v/>
      </c>
    </row>
    <row r="436" customFormat="false" ht="15" hidden="false" customHeight="false" outlineLevel="0" collapsed="false">
      <c r="A436" s="10"/>
      <c r="B436" s="10"/>
      <c r="C436" s="10"/>
      <c r="D436" s="10"/>
      <c r="E436" s="10"/>
      <c r="F436" s="10"/>
      <c r="G436" s="10"/>
      <c r="H436" s="10"/>
      <c r="I436" s="11"/>
      <c r="J436" s="10"/>
      <c r="K436" s="10"/>
      <c r="L436" s="10"/>
      <c r="M436" s="12"/>
      <c r="N436" s="12"/>
      <c r="O436" s="11"/>
      <c r="P436" s="12"/>
      <c r="Q436" s="11"/>
      <c r="R436" s="13" t="str">
        <f aca="false">IF(Q436="","",ROUND(Q436*IFERROR(INDEX(Settings!$B$2:$B$4,MATCH(K436,Settings!$A$2:$A$4,0)),0)+IFERROR(INDEX(Settings!$C$2:$C$4,MATCH(K436,Settings!$A$2:$A$4,0)),0),2))</f>
        <v/>
      </c>
      <c r="S436" s="13" t="str">
        <f aca="false">IF(Q436="","",Q436-R436-N(I436))</f>
        <v/>
      </c>
      <c r="T436" s="14" t="str">
        <f aca="true">IF(N436="","",IF(P436&lt;&gt;"",P436-N436,TODAY()-N436))</f>
        <v/>
      </c>
      <c r="U436" s="10"/>
      <c r="V436" s="14" t="str">
        <f aca="true">IF(AND(L436="Listed",N436&lt;&gt;"",P436=""),IF(TODAY()-N436&gt;=Settings!$B$6,"STALE",""),"")</f>
        <v/>
      </c>
    </row>
    <row r="437" customFormat="false" ht="15" hidden="false" customHeight="false" outlineLevel="0" collapsed="false">
      <c r="A437" s="10"/>
      <c r="B437" s="10"/>
      <c r="C437" s="10"/>
      <c r="D437" s="10"/>
      <c r="E437" s="10"/>
      <c r="F437" s="10"/>
      <c r="G437" s="10"/>
      <c r="H437" s="10"/>
      <c r="I437" s="11"/>
      <c r="J437" s="10"/>
      <c r="K437" s="10"/>
      <c r="L437" s="10"/>
      <c r="M437" s="12"/>
      <c r="N437" s="12"/>
      <c r="O437" s="11"/>
      <c r="P437" s="12"/>
      <c r="Q437" s="11"/>
      <c r="R437" s="13" t="str">
        <f aca="false">IF(Q437="","",ROUND(Q437*IFERROR(INDEX(Settings!$B$2:$B$4,MATCH(K437,Settings!$A$2:$A$4,0)),0)+IFERROR(INDEX(Settings!$C$2:$C$4,MATCH(K437,Settings!$A$2:$A$4,0)),0),2))</f>
        <v/>
      </c>
      <c r="S437" s="13" t="str">
        <f aca="false">IF(Q437="","",Q437-R437-N(I437))</f>
        <v/>
      </c>
      <c r="T437" s="14" t="str">
        <f aca="true">IF(N437="","",IF(P437&lt;&gt;"",P437-N437,TODAY()-N437))</f>
        <v/>
      </c>
      <c r="U437" s="10"/>
      <c r="V437" s="14" t="str">
        <f aca="true">IF(AND(L437="Listed",N437&lt;&gt;"",P437=""),IF(TODAY()-N437&gt;=Settings!$B$6,"STALE",""),"")</f>
        <v/>
      </c>
    </row>
    <row r="438" customFormat="false" ht="15" hidden="false" customHeight="false" outlineLevel="0" collapsed="false">
      <c r="A438" s="10"/>
      <c r="B438" s="10"/>
      <c r="C438" s="10"/>
      <c r="D438" s="10"/>
      <c r="E438" s="10"/>
      <c r="F438" s="10"/>
      <c r="G438" s="10"/>
      <c r="H438" s="10"/>
      <c r="I438" s="11"/>
      <c r="J438" s="10"/>
      <c r="K438" s="10"/>
      <c r="L438" s="10"/>
      <c r="M438" s="12"/>
      <c r="N438" s="12"/>
      <c r="O438" s="11"/>
      <c r="P438" s="12"/>
      <c r="Q438" s="11"/>
      <c r="R438" s="13" t="str">
        <f aca="false">IF(Q438="","",ROUND(Q438*IFERROR(INDEX(Settings!$B$2:$B$4,MATCH(K438,Settings!$A$2:$A$4,0)),0)+IFERROR(INDEX(Settings!$C$2:$C$4,MATCH(K438,Settings!$A$2:$A$4,0)),0),2))</f>
        <v/>
      </c>
      <c r="S438" s="13" t="str">
        <f aca="false">IF(Q438="","",Q438-R438-N(I438))</f>
        <v/>
      </c>
      <c r="T438" s="14" t="str">
        <f aca="true">IF(N438="","",IF(P438&lt;&gt;"",P438-N438,TODAY()-N438))</f>
        <v/>
      </c>
      <c r="U438" s="10"/>
      <c r="V438" s="14" t="str">
        <f aca="true">IF(AND(L438="Listed",N438&lt;&gt;"",P438=""),IF(TODAY()-N438&gt;=Settings!$B$6,"STALE",""),"")</f>
        <v/>
      </c>
    </row>
    <row r="439" customFormat="false" ht="15" hidden="false" customHeight="false" outlineLevel="0" collapsed="false">
      <c r="A439" s="10"/>
      <c r="B439" s="10"/>
      <c r="C439" s="10"/>
      <c r="D439" s="10"/>
      <c r="E439" s="10"/>
      <c r="F439" s="10"/>
      <c r="G439" s="10"/>
      <c r="H439" s="10"/>
      <c r="I439" s="11"/>
      <c r="J439" s="10"/>
      <c r="K439" s="10"/>
      <c r="L439" s="10"/>
      <c r="M439" s="12"/>
      <c r="N439" s="12"/>
      <c r="O439" s="11"/>
      <c r="P439" s="12"/>
      <c r="Q439" s="11"/>
      <c r="R439" s="13" t="str">
        <f aca="false">IF(Q439="","",ROUND(Q439*IFERROR(INDEX(Settings!$B$2:$B$4,MATCH(K439,Settings!$A$2:$A$4,0)),0)+IFERROR(INDEX(Settings!$C$2:$C$4,MATCH(K439,Settings!$A$2:$A$4,0)),0),2))</f>
        <v/>
      </c>
      <c r="S439" s="13" t="str">
        <f aca="false">IF(Q439="","",Q439-R439-N(I439))</f>
        <v/>
      </c>
      <c r="T439" s="14" t="str">
        <f aca="true">IF(N439="","",IF(P439&lt;&gt;"",P439-N439,TODAY()-N439))</f>
        <v/>
      </c>
      <c r="U439" s="10"/>
      <c r="V439" s="14" t="str">
        <f aca="true">IF(AND(L439="Listed",N439&lt;&gt;"",P439=""),IF(TODAY()-N439&gt;=Settings!$B$6,"STALE",""),"")</f>
        <v/>
      </c>
    </row>
    <row r="440" customFormat="false" ht="15" hidden="false" customHeight="false" outlineLevel="0" collapsed="false">
      <c r="A440" s="10"/>
      <c r="B440" s="10"/>
      <c r="C440" s="10"/>
      <c r="D440" s="10"/>
      <c r="E440" s="10"/>
      <c r="F440" s="10"/>
      <c r="G440" s="10"/>
      <c r="H440" s="10"/>
      <c r="I440" s="11"/>
      <c r="J440" s="10"/>
      <c r="K440" s="10"/>
      <c r="L440" s="10"/>
      <c r="M440" s="12"/>
      <c r="N440" s="12"/>
      <c r="O440" s="11"/>
      <c r="P440" s="12"/>
      <c r="Q440" s="11"/>
      <c r="R440" s="13" t="str">
        <f aca="false">IF(Q440="","",ROUND(Q440*IFERROR(INDEX(Settings!$B$2:$B$4,MATCH(K440,Settings!$A$2:$A$4,0)),0)+IFERROR(INDEX(Settings!$C$2:$C$4,MATCH(K440,Settings!$A$2:$A$4,0)),0),2))</f>
        <v/>
      </c>
      <c r="S440" s="13" t="str">
        <f aca="false">IF(Q440="","",Q440-R440-N(I440))</f>
        <v/>
      </c>
      <c r="T440" s="14" t="str">
        <f aca="true">IF(N440="","",IF(P440&lt;&gt;"",P440-N440,TODAY()-N440))</f>
        <v/>
      </c>
      <c r="U440" s="10"/>
      <c r="V440" s="14" t="str">
        <f aca="true">IF(AND(L440="Listed",N440&lt;&gt;"",P440=""),IF(TODAY()-N440&gt;=Settings!$B$6,"STALE",""),"")</f>
        <v/>
      </c>
    </row>
    <row r="441" customFormat="false" ht="15" hidden="false" customHeight="false" outlineLevel="0" collapsed="false">
      <c r="A441" s="10"/>
      <c r="B441" s="10"/>
      <c r="C441" s="10"/>
      <c r="D441" s="10"/>
      <c r="E441" s="10"/>
      <c r="F441" s="10"/>
      <c r="G441" s="10"/>
      <c r="H441" s="10"/>
      <c r="I441" s="11"/>
      <c r="J441" s="10"/>
      <c r="K441" s="10"/>
      <c r="L441" s="10"/>
      <c r="M441" s="12"/>
      <c r="N441" s="12"/>
      <c r="O441" s="11"/>
      <c r="P441" s="12"/>
      <c r="Q441" s="11"/>
      <c r="R441" s="13" t="str">
        <f aca="false">IF(Q441="","",ROUND(Q441*IFERROR(INDEX(Settings!$B$2:$B$4,MATCH(K441,Settings!$A$2:$A$4,0)),0)+IFERROR(INDEX(Settings!$C$2:$C$4,MATCH(K441,Settings!$A$2:$A$4,0)),0),2))</f>
        <v/>
      </c>
      <c r="S441" s="13" t="str">
        <f aca="false">IF(Q441="","",Q441-R441-N(I441))</f>
        <v/>
      </c>
      <c r="T441" s="14" t="str">
        <f aca="true">IF(N441="","",IF(P441&lt;&gt;"",P441-N441,TODAY()-N441))</f>
        <v/>
      </c>
      <c r="U441" s="10"/>
      <c r="V441" s="14" t="str">
        <f aca="true">IF(AND(L441="Listed",N441&lt;&gt;"",P441=""),IF(TODAY()-N441&gt;=Settings!$B$6,"STALE",""),"")</f>
        <v/>
      </c>
    </row>
    <row r="442" customFormat="false" ht="15" hidden="false" customHeight="false" outlineLevel="0" collapsed="false">
      <c r="A442" s="10"/>
      <c r="B442" s="10"/>
      <c r="C442" s="10"/>
      <c r="D442" s="10"/>
      <c r="E442" s="10"/>
      <c r="F442" s="10"/>
      <c r="G442" s="10"/>
      <c r="H442" s="10"/>
      <c r="I442" s="11"/>
      <c r="J442" s="10"/>
      <c r="K442" s="10"/>
      <c r="L442" s="10"/>
      <c r="M442" s="12"/>
      <c r="N442" s="12"/>
      <c r="O442" s="11"/>
      <c r="P442" s="12"/>
      <c r="Q442" s="11"/>
      <c r="R442" s="13" t="str">
        <f aca="false">IF(Q442="","",ROUND(Q442*IFERROR(INDEX(Settings!$B$2:$B$4,MATCH(K442,Settings!$A$2:$A$4,0)),0)+IFERROR(INDEX(Settings!$C$2:$C$4,MATCH(K442,Settings!$A$2:$A$4,0)),0),2))</f>
        <v/>
      </c>
      <c r="S442" s="13" t="str">
        <f aca="false">IF(Q442="","",Q442-R442-N(I442))</f>
        <v/>
      </c>
      <c r="T442" s="14" t="str">
        <f aca="true">IF(N442="","",IF(P442&lt;&gt;"",P442-N442,TODAY()-N442))</f>
        <v/>
      </c>
      <c r="U442" s="10"/>
      <c r="V442" s="14" t="str">
        <f aca="true">IF(AND(L442="Listed",N442&lt;&gt;"",P442=""),IF(TODAY()-N442&gt;=Settings!$B$6,"STALE",""),"")</f>
        <v/>
      </c>
    </row>
    <row r="443" customFormat="false" ht="15" hidden="false" customHeight="false" outlineLevel="0" collapsed="false">
      <c r="A443" s="10"/>
      <c r="B443" s="10"/>
      <c r="C443" s="10"/>
      <c r="D443" s="10"/>
      <c r="E443" s="10"/>
      <c r="F443" s="10"/>
      <c r="G443" s="10"/>
      <c r="H443" s="10"/>
      <c r="I443" s="11"/>
      <c r="J443" s="10"/>
      <c r="K443" s="10"/>
      <c r="L443" s="10"/>
      <c r="M443" s="12"/>
      <c r="N443" s="12"/>
      <c r="O443" s="11"/>
      <c r="P443" s="12"/>
      <c r="Q443" s="11"/>
      <c r="R443" s="13" t="str">
        <f aca="false">IF(Q443="","",ROUND(Q443*IFERROR(INDEX(Settings!$B$2:$B$4,MATCH(K443,Settings!$A$2:$A$4,0)),0)+IFERROR(INDEX(Settings!$C$2:$C$4,MATCH(K443,Settings!$A$2:$A$4,0)),0),2))</f>
        <v/>
      </c>
      <c r="S443" s="13" t="str">
        <f aca="false">IF(Q443="","",Q443-R443-N(I443))</f>
        <v/>
      </c>
      <c r="T443" s="14" t="str">
        <f aca="true">IF(N443="","",IF(P443&lt;&gt;"",P443-N443,TODAY()-N443))</f>
        <v/>
      </c>
      <c r="U443" s="10"/>
      <c r="V443" s="14" t="str">
        <f aca="true">IF(AND(L443="Listed",N443&lt;&gt;"",P443=""),IF(TODAY()-N443&gt;=Settings!$B$6,"STALE",""),"")</f>
        <v/>
      </c>
    </row>
    <row r="444" customFormat="false" ht="15" hidden="false" customHeight="false" outlineLevel="0" collapsed="false">
      <c r="A444" s="10"/>
      <c r="B444" s="10"/>
      <c r="C444" s="10"/>
      <c r="D444" s="10"/>
      <c r="E444" s="10"/>
      <c r="F444" s="10"/>
      <c r="G444" s="10"/>
      <c r="H444" s="10"/>
      <c r="I444" s="11"/>
      <c r="J444" s="10"/>
      <c r="K444" s="10"/>
      <c r="L444" s="10"/>
      <c r="M444" s="12"/>
      <c r="N444" s="12"/>
      <c r="O444" s="11"/>
      <c r="P444" s="12"/>
      <c r="Q444" s="11"/>
      <c r="R444" s="13" t="str">
        <f aca="false">IF(Q444="","",ROUND(Q444*IFERROR(INDEX(Settings!$B$2:$B$4,MATCH(K444,Settings!$A$2:$A$4,0)),0)+IFERROR(INDEX(Settings!$C$2:$C$4,MATCH(K444,Settings!$A$2:$A$4,0)),0),2))</f>
        <v/>
      </c>
      <c r="S444" s="13" t="str">
        <f aca="false">IF(Q444="","",Q444-R444-N(I444))</f>
        <v/>
      </c>
      <c r="T444" s="14" t="str">
        <f aca="true">IF(N444="","",IF(P444&lt;&gt;"",P444-N444,TODAY()-N444))</f>
        <v/>
      </c>
      <c r="U444" s="10"/>
      <c r="V444" s="14" t="str">
        <f aca="true">IF(AND(L444="Listed",N444&lt;&gt;"",P444=""),IF(TODAY()-N444&gt;=Settings!$B$6,"STALE",""),"")</f>
        <v/>
      </c>
    </row>
    <row r="445" customFormat="false" ht="15" hidden="false" customHeight="false" outlineLevel="0" collapsed="false">
      <c r="A445" s="10"/>
      <c r="B445" s="10"/>
      <c r="C445" s="10"/>
      <c r="D445" s="10"/>
      <c r="E445" s="10"/>
      <c r="F445" s="10"/>
      <c r="G445" s="10"/>
      <c r="H445" s="10"/>
      <c r="I445" s="11"/>
      <c r="J445" s="10"/>
      <c r="K445" s="10"/>
      <c r="L445" s="10"/>
      <c r="M445" s="12"/>
      <c r="N445" s="12"/>
      <c r="O445" s="11"/>
      <c r="P445" s="12"/>
      <c r="Q445" s="11"/>
      <c r="R445" s="13" t="str">
        <f aca="false">IF(Q445="","",ROUND(Q445*IFERROR(INDEX(Settings!$B$2:$B$4,MATCH(K445,Settings!$A$2:$A$4,0)),0)+IFERROR(INDEX(Settings!$C$2:$C$4,MATCH(K445,Settings!$A$2:$A$4,0)),0),2))</f>
        <v/>
      </c>
      <c r="S445" s="13" t="str">
        <f aca="false">IF(Q445="","",Q445-R445-N(I445))</f>
        <v/>
      </c>
      <c r="T445" s="14" t="str">
        <f aca="true">IF(N445="","",IF(P445&lt;&gt;"",P445-N445,TODAY()-N445))</f>
        <v/>
      </c>
      <c r="U445" s="10"/>
      <c r="V445" s="14" t="str">
        <f aca="true">IF(AND(L445="Listed",N445&lt;&gt;"",P445=""),IF(TODAY()-N445&gt;=Settings!$B$6,"STALE",""),"")</f>
        <v/>
      </c>
    </row>
    <row r="446" customFormat="false" ht="15" hidden="false" customHeight="false" outlineLevel="0" collapsed="false">
      <c r="A446" s="10"/>
      <c r="B446" s="10"/>
      <c r="C446" s="10"/>
      <c r="D446" s="10"/>
      <c r="E446" s="10"/>
      <c r="F446" s="10"/>
      <c r="G446" s="10"/>
      <c r="H446" s="10"/>
      <c r="I446" s="11"/>
      <c r="J446" s="10"/>
      <c r="K446" s="10"/>
      <c r="L446" s="10"/>
      <c r="M446" s="12"/>
      <c r="N446" s="12"/>
      <c r="O446" s="11"/>
      <c r="P446" s="12"/>
      <c r="Q446" s="11"/>
      <c r="R446" s="13" t="str">
        <f aca="false">IF(Q446="","",ROUND(Q446*IFERROR(INDEX(Settings!$B$2:$B$4,MATCH(K446,Settings!$A$2:$A$4,0)),0)+IFERROR(INDEX(Settings!$C$2:$C$4,MATCH(K446,Settings!$A$2:$A$4,0)),0),2))</f>
        <v/>
      </c>
      <c r="S446" s="13" t="str">
        <f aca="false">IF(Q446="","",Q446-R446-N(I446))</f>
        <v/>
      </c>
      <c r="T446" s="14" t="str">
        <f aca="true">IF(N446="","",IF(P446&lt;&gt;"",P446-N446,TODAY()-N446))</f>
        <v/>
      </c>
      <c r="U446" s="10"/>
      <c r="V446" s="14" t="str">
        <f aca="true">IF(AND(L446="Listed",N446&lt;&gt;"",P446=""),IF(TODAY()-N446&gt;=Settings!$B$6,"STALE",""),"")</f>
        <v/>
      </c>
    </row>
    <row r="447" customFormat="false" ht="15" hidden="false" customHeight="false" outlineLevel="0" collapsed="false">
      <c r="A447" s="10"/>
      <c r="B447" s="10"/>
      <c r="C447" s="10"/>
      <c r="D447" s="10"/>
      <c r="E447" s="10"/>
      <c r="F447" s="10"/>
      <c r="G447" s="10"/>
      <c r="H447" s="10"/>
      <c r="I447" s="11"/>
      <c r="J447" s="10"/>
      <c r="K447" s="10"/>
      <c r="L447" s="10"/>
      <c r="M447" s="12"/>
      <c r="N447" s="12"/>
      <c r="O447" s="11"/>
      <c r="P447" s="12"/>
      <c r="Q447" s="11"/>
      <c r="R447" s="13" t="str">
        <f aca="false">IF(Q447="","",ROUND(Q447*IFERROR(INDEX(Settings!$B$2:$B$4,MATCH(K447,Settings!$A$2:$A$4,0)),0)+IFERROR(INDEX(Settings!$C$2:$C$4,MATCH(K447,Settings!$A$2:$A$4,0)),0),2))</f>
        <v/>
      </c>
      <c r="S447" s="13" t="str">
        <f aca="false">IF(Q447="","",Q447-R447-N(I447))</f>
        <v/>
      </c>
      <c r="T447" s="14" t="str">
        <f aca="true">IF(N447="","",IF(P447&lt;&gt;"",P447-N447,TODAY()-N447))</f>
        <v/>
      </c>
      <c r="U447" s="10"/>
      <c r="V447" s="14" t="str">
        <f aca="true">IF(AND(L447="Listed",N447&lt;&gt;"",P447=""),IF(TODAY()-N447&gt;=Settings!$B$6,"STALE",""),"")</f>
        <v/>
      </c>
    </row>
    <row r="448" customFormat="false" ht="15" hidden="false" customHeight="false" outlineLevel="0" collapsed="false">
      <c r="A448" s="10"/>
      <c r="B448" s="10"/>
      <c r="C448" s="10"/>
      <c r="D448" s="10"/>
      <c r="E448" s="10"/>
      <c r="F448" s="10"/>
      <c r="G448" s="10"/>
      <c r="H448" s="10"/>
      <c r="I448" s="11"/>
      <c r="J448" s="10"/>
      <c r="K448" s="10"/>
      <c r="L448" s="10"/>
      <c r="M448" s="12"/>
      <c r="N448" s="12"/>
      <c r="O448" s="11"/>
      <c r="P448" s="12"/>
      <c r="Q448" s="11"/>
      <c r="R448" s="13" t="str">
        <f aca="false">IF(Q448="","",ROUND(Q448*IFERROR(INDEX(Settings!$B$2:$B$4,MATCH(K448,Settings!$A$2:$A$4,0)),0)+IFERROR(INDEX(Settings!$C$2:$C$4,MATCH(K448,Settings!$A$2:$A$4,0)),0),2))</f>
        <v/>
      </c>
      <c r="S448" s="13" t="str">
        <f aca="false">IF(Q448="","",Q448-R448-N(I448))</f>
        <v/>
      </c>
      <c r="T448" s="14" t="str">
        <f aca="true">IF(N448="","",IF(P448&lt;&gt;"",P448-N448,TODAY()-N448))</f>
        <v/>
      </c>
      <c r="U448" s="10"/>
      <c r="V448" s="14" t="str">
        <f aca="true">IF(AND(L448="Listed",N448&lt;&gt;"",P448=""),IF(TODAY()-N448&gt;=Settings!$B$6,"STALE",""),"")</f>
        <v/>
      </c>
    </row>
    <row r="449" customFormat="false" ht="15" hidden="false" customHeight="false" outlineLevel="0" collapsed="false">
      <c r="A449" s="10"/>
      <c r="B449" s="10"/>
      <c r="C449" s="10"/>
      <c r="D449" s="10"/>
      <c r="E449" s="10"/>
      <c r="F449" s="10"/>
      <c r="G449" s="10"/>
      <c r="H449" s="10"/>
      <c r="I449" s="11"/>
      <c r="J449" s="10"/>
      <c r="K449" s="10"/>
      <c r="L449" s="10"/>
      <c r="M449" s="12"/>
      <c r="N449" s="12"/>
      <c r="O449" s="11"/>
      <c r="P449" s="12"/>
      <c r="Q449" s="11"/>
      <c r="R449" s="13" t="str">
        <f aca="false">IF(Q449="","",ROUND(Q449*IFERROR(INDEX(Settings!$B$2:$B$4,MATCH(K449,Settings!$A$2:$A$4,0)),0)+IFERROR(INDEX(Settings!$C$2:$C$4,MATCH(K449,Settings!$A$2:$A$4,0)),0),2))</f>
        <v/>
      </c>
      <c r="S449" s="13" t="str">
        <f aca="false">IF(Q449="","",Q449-R449-N(I449))</f>
        <v/>
      </c>
      <c r="T449" s="14" t="str">
        <f aca="true">IF(N449="","",IF(P449&lt;&gt;"",P449-N449,TODAY()-N449))</f>
        <v/>
      </c>
      <c r="U449" s="10"/>
      <c r="V449" s="14" t="str">
        <f aca="true">IF(AND(L449="Listed",N449&lt;&gt;"",P449=""),IF(TODAY()-N449&gt;=Settings!$B$6,"STALE",""),"")</f>
        <v/>
      </c>
    </row>
    <row r="450" customFormat="false" ht="15" hidden="false" customHeight="false" outlineLevel="0" collapsed="false">
      <c r="A450" s="10"/>
      <c r="B450" s="10"/>
      <c r="C450" s="10"/>
      <c r="D450" s="10"/>
      <c r="E450" s="10"/>
      <c r="F450" s="10"/>
      <c r="G450" s="10"/>
      <c r="H450" s="10"/>
      <c r="I450" s="11"/>
      <c r="J450" s="10"/>
      <c r="K450" s="10"/>
      <c r="L450" s="10"/>
      <c r="M450" s="12"/>
      <c r="N450" s="12"/>
      <c r="O450" s="11"/>
      <c r="P450" s="12"/>
      <c r="Q450" s="11"/>
      <c r="R450" s="13" t="str">
        <f aca="false">IF(Q450="","",ROUND(Q450*IFERROR(INDEX(Settings!$B$2:$B$4,MATCH(K450,Settings!$A$2:$A$4,0)),0)+IFERROR(INDEX(Settings!$C$2:$C$4,MATCH(K450,Settings!$A$2:$A$4,0)),0),2))</f>
        <v/>
      </c>
      <c r="S450" s="13" t="str">
        <f aca="false">IF(Q450="","",Q450-R450-N(I450))</f>
        <v/>
      </c>
      <c r="T450" s="14" t="str">
        <f aca="true">IF(N450="","",IF(P450&lt;&gt;"",P450-N450,TODAY()-N450))</f>
        <v/>
      </c>
      <c r="U450" s="10"/>
      <c r="V450" s="14" t="str">
        <f aca="true">IF(AND(L450="Listed",N450&lt;&gt;"",P450=""),IF(TODAY()-N450&gt;=Settings!$B$6,"STALE",""),"")</f>
        <v/>
      </c>
    </row>
    <row r="451" customFormat="false" ht="15" hidden="false" customHeight="false" outlineLevel="0" collapsed="false">
      <c r="A451" s="10"/>
      <c r="B451" s="10"/>
      <c r="C451" s="10"/>
      <c r="D451" s="10"/>
      <c r="E451" s="10"/>
      <c r="F451" s="10"/>
      <c r="G451" s="10"/>
      <c r="H451" s="10"/>
      <c r="I451" s="11"/>
      <c r="J451" s="10"/>
      <c r="K451" s="10"/>
      <c r="L451" s="10"/>
      <c r="M451" s="12"/>
      <c r="N451" s="12"/>
      <c r="O451" s="11"/>
      <c r="P451" s="12"/>
      <c r="Q451" s="11"/>
      <c r="R451" s="13" t="str">
        <f aca="false">IF(Q451="","",ROUND(Q451*IFERROR(INDEX(Settings!$B$2:$B$4,MATCH(K451,Settings!$A$2:$A$4,0)),0)+IFERROR(INDEX(Settings!$C$2:$C$4,MATCH(K451,Settings!$A$2:$A$4,0)),0),2))</f>
        <v/>
      </c>
      <c r="S451" s="13" t="str">
        <f aca="false">IF(Q451="","",Q451-R451-N(I451))</f>
        <v/>
      </c>
      <c r="T451" s="14" t="str">
        <f aca="true">IF(N451="","",IF(P451&lt;&gt;"",P451-N451,TODAY()-N451))</f>
        <v/>
      </c>
      <c r="U451" s="10"/>
      <c r="V451" s="14" t="str">
        <f aca="true">IF(AND(L451="Listed",N451&lt;&gt;"",P451=""),IF(TODAY()-N451&gt;=Settings!$B$6,"STALE",""),"")</f>
        <v/>
      </c>
    </row>
    <row r="452" customFormat="false" ht="15" hidden="false" customHeight="false" outlineLevel="0" collapsed="false">
      <c r="A452" s="10"/>
      <c r="B452" s="10"/>
      <c r="C452" s="10"/>
      <c r="D452" s="10"/>
      <c r="E452" s="10"/>
      <c r="F452" s="10"/>
      <c r="G452" s="10"/>
      <c r="H452" s="10"/>
      <c r="I452" s="11"/>
      <c r="J452" s="10"/>
      <c r="K452" s="10"/>
      <c r="L452" s="10"/>
      <c r="M452" s="12"/>
      <c r="N452" s="12"/>
      <c r="O452" s="11"/>
      <c r="P452" s="12"/>
      <c r="Q452" s="11"/>
      <c r="R452" s="13" t="str">
        <f aca="false">IF(Q452="","",ROUND(Q452*IFERROR(INDEX(Settings!$B$2:$B$4,MATCH(K452,Settings!$A$2:$A$4,0)),0)+IFERROR(INDEX(Settings!$C$2:$C$4,MATCH(K452,Settings!$A$2:$A$4,0)),0),2))</f>
        <v/>
      </c>
      <c r="S452" s="13" t="str">
        <f aca="false">IF(Q452="","",Q452-R452-N(I452))</f>
        <v/>
      </c>
      <c r="T452" s="14" t="str">
        <f aca="true">IF(N452="","",IF(P452&lt;&gt;"",P452-N452,TODAY()-N452))</f>
        <v/>
      </c>
      <c r="U452" s="10"/>
      <c r="V452" s="14" t="str">
        <f aca="true">IF(AND(L452="Listed",N452&lt;&gt;"",P452=""),IF(TODAY()-N452&gt;=Settings!$B$6,"STALE",""),"")</f>
        <v/>
      </c>
    </row>
    <row r="453" customFormat="false" ht="15" hidden="false" customHeight="false" outlineLevel="0" collapsed="false">
      <c r="A453" s="10"/>
      <c r="B453" s="10"/>
      <c r="C453" s="10"/>
      <c r="D453" s="10"/>
      <c r="E453" s="10"/>
      <c r="F453" s="10"/>
      <c r="G453" s="10"/>
      <c r="H453" s="10"/>
      <c r="I453" s="11"/>
      <c r="J453" s="10"/>
      <c r="K453" s="10"/>
      <c r="L453" s="10"/>
      <c r="M453" s="12"/>
      <c r="N453" s="12"/>
      <c r="O453" s="11"/>
      <c r="P453" s="12"/>
      <c r="Q453" s="11"/>
      <c r="R453" s="13" t="str">
        <f aca="false">IF(Q453="","",ROUND(Q453*IFERROR(INDEX(Settings!$B$2:$B$4,MATCH(K453,Settings!$A$2:$A$4,0)),0)+IFERROR(INDEX(Settings!$C$2:$C$4,MATCH(K453,Settings!$A$2:$A$4,0)),0),2))</f>
        <v/>
      </c>
      <c r="S453" s="13" t="str">
        <f aca="false">IF(Q453="","",Q453-R453-N(I453))</f>
        <v/>
      </c>
      <c r="T453" s="14" t="str">
        <f aca="true">IF(N453="","",IF(P453&lt;&gt;"",P453-N453,TODAY()-N453))</f>
        <v/>
      </c>
      <c r="U453" s="10"/>
      <c r="V453" s="14" t="str">
        <f aca="true">IF(AND(L453="Listed",N453&lt;&gt;"",P453=""),IF(TODAY()-N453&gt;=Settings!$B$6,"STALE",""),"")</f>
        <v/>
      </c>
    </row>
    <row r="454" customFormat="false" ht="15" hidden="false" customHeight="false" outlineLevel="0" collapsed="false">
      <c r="A454" s="10"/>
      <c r="B454" s="10"/>
      <c r="C454" s="10"/>
      <c r="D454" s="10"/>
      <c r="E454" s="10"/>
      <c r="F454" s="10"/>
      <c r="G454" s="10"/>
      <c r="H454" s="10"/>
      <c r="I454" s="11"/>
      <c r="J454" s="10"/>
      <c r="K454" s="10"/>
      <c r="L454" s="10"/>
      <c r="M454" s="12"/>
      <c r="N454" s="12"/>
      <c r="O454" s="11"/>
      <c r="P454" s="12"/>
      <c r="Q454" s="11"/>
      <c r="R454" s="13" t="str">
        <f aca="false">IF(Q454="","",ROUND(Q454*IFERROR(INDEX(Settings!$B$2:$B$4,MATCH(K454,Settings!$A$2:$A$4,0)),0)+IFERROR(INDEX(Settings!$C$2:$C$4,MATCH(K454,Settings!$A$2:$A$4,0)),0),2))</f>
        <v/>
      </c>
      <c r="S454" s="13" t="str">
        <f aca="false">IF(Q454="","",Q454-R454-N(I454))</f>
        <v/>
      </c>
      <c r="T454" s="14" t="str">
        <f aca="true">IF(N454="","",IF(P454&lt;&gt;"",P454-N454,TODAY()-N454))</f>
        <v/>
      </c>
      <c r="U454" s="10"/>
      <c r="V454" s="14" t="str">
        <f aca="true">IF(AND(L454="Listed",N454&lt;&gt;"",P454=""),IF(TODAY()-N454&gt;=Settings!$B$6,"STALE",""),"")</f>
        <v/>
      </c>
    </row>
    <row r="455" customFormat="false" ht="15" hidden="false" customHeight="false" outlineLevel="0" collapsed="false">
      <c r="A455" s="10"/>
      <c r="B455" s="10"/>
      <c r="C455" s="10"/>
      <c r="D455" s="10"/>
      <c r="E455" s="10"/>
      <c r="F455" s="10"/>
      <c r="G455" s="10"/>
      <c r="H455" s="10"/>
      <c r="I455" s="11"/>
      <c r="J455" s="10"/>
      <c r="K455" s="10"/>
      <c r="L455" s="10"/>
      <c r="M455" s="12"/>
      <c r="N455" s="12"/>
      <c r="O455" s="11"/>
      <c r="P455" s="12"/>
      <c r="Q455" s="11"/>
      <c r="R455" s="13" t="str">
        <f aca="false">IF(Q455="","",ROUND(Q455*IFERROR(INDEX(Settings!$B$2:$B$4,MATCH(K455,Settings!$A$2:$A$4,0)),0)+IFERROR(INDEX(Settings!$C$2:$C$4,MATCH(K455,Settings!$A$2:$A$4,0)),0),2))</f>
        <v/>
      </c>
      <c r="S455" s="13" t="str">
        <f aca="false">IF(Q455="","",Q455-R455-N(I455))</f>
        <v/>
      </c>
      <c r="T455" s="14" t="str">
        <f aca="true">IF(N455="","",IF(P455&lt;&gt;"",P455-N455,TODAY()-N455))</f>
        <v/>
      </c>
      <c r="U455" s="10"/>
      <c r="V455" s="14" t="str">
        <f aca="true">IF(AND(L455="Listed",N455&lt;&gt;"",P455=""),IF(TODAY()-N455&gt;=Settings!$B$6,"STALE",""),"")</f>
        <v/>
      </c>
    </row>
    <row r="456" customFormat="false" ht="15" hidden="false" customHeight="false" outlineLevel="0" collapsed="false">
      <c r="A456" s="10"/>
      <c r="B456" s="10"/>
      <c r="C456" s="10"/>
      <c r="D456" s="10"/>
      <c r="E456" s="10"/>
      <c r="F456" s="10"/>
      <c r="G456" s="10"/>
      <c r="H456" s="10"/>
      <c r="I456" s="11"/>
      <c r="J456" s="10"/>
      <c r="K456" s="10"/>
      <c r="L456" s="10"/>
      <c r="M456" s="12"/>
      <c r="N456" s="12"/>
      <c r="O456" s="11"/>
      <c r="P456" s="12"/>
      <c r="Q456" s="11"/>
      <c r="R456" s="13" t="str">
        <f aca="false">IF(Q456="","",ROUND(Q456*IFERROR(INDEX(Settings!$B$2:$B$4,MATCH(K456,Settings!$A$2:$A$4,0)),0)+IFERROR(INDEX(Settings!$C$2:$C$4,MATCH(K456,Settings!$A$2:$A$4,0)),0),2))</f>
        <v/>
      </c>
      <c r="S456" s="13" t="str">
        <f aca="false">IF(Q456="","",Q456-R456-N(I456))</f>
        <v/>
      </c>
      <c r="T456" s="14" t="str">
        <f aca="true">IF(N456="","",IF(P456&lt;&gt;"",P456-N456,TODAY()-N456))</f>
        <v/>
      </c>
      <c r="U456" s="10"/>
      <c r="V456" s="14" t="str">
        <f aca="true">IF(AND(L456="Listed",N456&lt;&gt;"",P456=""),IF(TODAY()-N456&gt;=Settings!$B$6,"STALE",""),"")</f>
        <v/>
      </c>
    </row>
    <row r="457" customFormat="false" ht="15" hidden="false" customHeight="false" outlineLevel="0" collapsed="false">
      <c r="A457" s="10"/>
      <c r="B457" s="10"/>
      <c r="C457" s="10"/>
      <c r="D457" s="10"/>
      <c r="E457" s="10"/>
      <c r="F457" s="10"/>
      <c r="G457" s="10"/>
      <c r="H457" s="10"/>
      <c r="I457" s="11"/>
      <c r="J457" s="10"/>
      <c r="K457" s="10"/>
      <c r="L457" s="10"/>
      <c r="M457" s="12"/>
      <c r="N457" s="12"/>
      <c r="O457" s="11"/>
      <c r="P457" s="12"/>
      <c r="Q457" s="11"/>
      <c r="R457" s="13" t="str">
        <f aca="false">IF(Q457="","",ROUND(Q457*IFERROR(INDEX(Settings!$B$2:$B$4,MATCH(K457,Settings!$A$2:$A$4,0)),0)+IFERROR(INDEX(Settings!$C$2:$C$4,MATCH(K457,Settings!$A$2:$A$4,0)),0),2))</f>
        <v/>
      </c>
      <c r="S457" s="13" t="str">
        <f aca="false">IF(Q457="","",Q457-R457-N(I457))</f>
        <v/>
      </c>
      <c r="T457" s="14" t="str">
        <f aca="true">IF(N457="","",IF(P457&lt;&gt;"",P457-N457,TODAY()-N457))</f>
        <v/>
      </c>
      <c r="U457" s="10"/>
      <c r="V457" s="14" t="str">
        <f aca="true">IF(AND(L457="Listed",N457&lt;&gt;"",P457=""),IF(TODAY()-N457&gt;=Settings!$B$6,"STALE",""),"")</f>
        <v/>
      </c>
    </row>
    <row r="458" customFormat="false" ht="15" hidden="false" customHeight="false" outlineLevel="0" collapsed="false">
      <c r="A458" s="10"/>
      <c r="B458" s="10"/>
      <c r="C458" s="10"/>
      <c r="D458" s="10"/>
      <c r="E458" s="10"/>
      <c r="F458" s="10"/>
      <c r="G458" s="10"/>
      <c r="H458" s="10"/>
      <c r="I458" s="11"/>
      <c r="J458" s="10"/>
      <c r="K458" s="10"/>
      <c r="L458" s="10"/>
      <c r="M458" s="12"/>
      <c r="N458" s="12"/>
      <c r="O458" s="11"/>
      <c r="P458" s="12"/>
      <c r="Q458" s="11"/>
      <c r="R458" s="13" t="str">
        <f aca="false">IF(Q458="","",ROUND(Q458*IFERROR(INDEX(Settings!$B$2:$B$4,MATCH(K458,Settings!$A$2:$A$4,0)),0)+IFERROR(INDEX(Settings!$C$2:$C$4,MATCH(K458,Settings!$A$2:$A$4,0)),0),2))</f>
        <v/>
      </c>
      <c r="S458" s="13" t="str">
        <f aca="false">IF(Q458="","",Q458-R458-N(I458))</f>
        <v/>
      </c>
      <c r="T458" s="14" t="str">
        <f aca="true">IF(N458="","",IF(P458&lt;&gt;"",P458-N458,TODAY()-N458))</f>
        <v/>
      </c>
      <c r="U458" s="10"/>
      <c r="V458" s="14" t="str">
        <f aca="true">IF(AND(L458="Listed",N458&lt;&gt;"",P458=""),IF(TODAY()-N458&gt;=Settings!$B$6,"STALE",""),"")</f>
        <v/>
      </c>
    </row>
    <row r="459" customFormat="false" ht="15" hidden="false" customHeight="false" outlineLevel="0" collapsed="false">
      <c r="A459" s="10"/>
      <c r="B459" s="10"/>
      <c r="C459" s="10"/>
      <c r="D459" s="10"/>
      <c r="E459" s="10"/>
      <c r="F459" s="10"/>
      <c r="G459" s="10"/>
      <c r="H459" s="10"/>
      <c r="I459" s="11"/>
      <c r="J459" s="10"/>
      <c r="K459" s="10"/>
      <c r="L459" s="10"/>
      <c r="M459" s="12"/>
      <c r="N459" s="12"/>
      <c r="O459" s="11"/>
      <c r="P459" s="12"/>
      <c r="Q459" s="11"/>
      <c r="R459" s="13" t="str">
        <f aca="false">IF(Q459="","",ROUND(Q459*IFERROR(INDEX(Settings!$B$2:$B$4,MATCH(K459,Settings!$A$2:$A$4,0)),0)+IFERROR(INDEX(Settings!$C$2:$C$4,MATCH(K459,Settings!$A$2:$A$4,0)),0),2))</f>
        <v/>
      </c>
      <c r="S459" s="13" t="str">
        <f aca="false">IF(Q459="","",Q459-R459-N(I459))</f>
        <v/>
      </c>
      <c r="T459" s="14" t="str">
        <f aca="true">IF(N459="","",IF(P459&lt;&gt;"",P459-N459,TODAY()-N459))</f>
        <v/>
      </c>
      <c r="U459" s="10"/>
      <c r="V459" s="14" t="str">
        <f aca="true">IF(AND(L459="Listed",N459&lt;&gt;"",P459=""),IF(TODAY()-N459&gt;=Settings!$B$6,"STALE",""),"")</f>
        <v/>
      </c>
    </row>
    <row r="460" customFormat="false" ht="15" hidden="false" customHeight="false" outlineLevel="0" collapsed="false">
      <c r="A460" s="10"/>
      <c r="B460" s="10"/>
      <c r="C460" s="10"/>
      <c r="D460" s="10"/>
      <c r="E460" s="10"/>
      <c r="F460" s="10"/>
      <c r="G460" s="10"/>
      <c r="H460" s="10"/>
      <c r="I460" s="11"/>
      <c r="J460" s="10"/>
      <c r="K460" s="10"/>
      <c r="L460" s="10"/>
      <c r="M460" s="12"/>
      <c r="N460" s="12"/>
      <c r="O460" s="11"/>
      <c r="P460" s="12"/>
      <c r="Q460" s="11"/>
      <c r="R460" s="13" t="str">
        <f aca="false">IF(Q460="","",ROUND(Q460*IFERROR(INDEX(Settings!$B$2:$B$4,MATCH(K460,Settings!$A$2:$A$4,0)),0)+IFERROR(INDEX(Settings!$C$2:$C$4,MATCH(K460,Settings!$A$2:$A$4,0)),0),2))</f>
        <v/>
      </c>
      <c r="S460" s="13" t="str">
        <f aca="false">IF(Q460="","",Q460-R460-N(I460))</f>
        <v/>
      </c>
      <c r="T460" s="14" t="str">
        <f aca="true">IF(N460="","",IF(P460&lt;&gt;"",P460-N460,TODAY()-N460))</f>
        <v/>
      </c>
      <c r="U460" s="10"/>
      <c r="V460" s="14" t="str">
        <f aca="true">IF(AND(L460="Listed",N460&lt;&gt;"",P460=""),IF(TODAY()-N460&gt;=Settings!$B$6,"STALE",""),"")</f>
        <v/>
      </c>
    </row>
    <row r="461" customFormat="false" ht="15" hidden="false" customHeight="false" outlineLevel="0" collapsed="false">
      <c r="A461" s="10"/>
      <c r="B461" s="10"/>
      <c r="C461" s="10"/>
      <c r="D461" s="10"/>
      <c r="E461" s="10"/>
      <c r="F461" s="10"/>
      <c r="G461" s="10"/>
      <c r="H461" s="10"/>
      <c r="I461" s="11"/>
      <c r="J461" s="10"/>
      <c r="K461" s="10"/>
      <c r="L461" s="10"/>
      <c r="M461" s="12"/>
      <c r="N461" s="12"/>
      <c r="O461" s="11"/>
      <c r="P461" s="12"/>
      <c r="Q461" s="11"/>
      <c r="R461" s="13" t="str">
        <f aca="false">IF(Q461="","",ROUND(Q461*IFERROR(INDEX(Settings!$B$2:$B$4,MATCH(K461,Settings!$A$2:$A$4,0)),0)+IFERROR(INDEX(Settings!$C$2:$C$4,MATCH(K461,Settings!$A$2:$A$4,0)),0),2))</f>
        <v/>
      </c>
      <c r="S461" s="13" t="str">
        <f aca="false">IF(Q461="","",Q461-R461-N(I461))</f>
        <v/>
      </c>
      <c r="T461" s="14" t="str">
        <f aca="true">IF(N461="","",IF(P461&lt;&gt;"",P461-N461,TODAY()-N461))</f>
        <v/>
      </c>
      <c r="U461" s="10"/>
      <c r="V461" s="14" t="str">
        <f aca="true">IF(AND(L461="Listed",N461&lt;&gt;"",P461=""),IF(TODAY()-N461&gt;=Settings!$B$6,"STALE",""),"")</f>
        <v/>
      </c>
    </row>
    <row r="462" customFormat="false" ht="15" hidden="false" customHeight="false" outlineLevel="0" collapsed="false">
      <c r="A462" s="10"/>
      <c r="B462" s="10"/>
      <c r="C462" s="10"/>
      <c r="D462" s="10"/>
      <c r="E462" s="10"/>
      <c r="F462" s="10"/>
      <c r="G462" s="10"/>
      <c r="H462" s="10"/>
      <c r="I462" s="11"/>
      <c r="J462" s="10"/>
      <c r="K462" s="10"/>
      <c r="L462" s="10"/>
      <c r="M462" s="12"/>
      <c r="N462" s="12"/>
      <c r="O462" s="11"/>
      <c r="P462" s="12"/>
      <c r="Q462" s="11"/>
      <c r="R462" s="13" t="str">
        <f aca="false">IF(Q462="","",ROUND(Q462*IFERROR(INDEX(Settings!$B$2:$B$4,MATCH(K462,Settings!$A$2:$A$4,0)),0)+IFERROR(INDEX(Settings!$C$2:$C$4,MATCH(K462,Settings!$A$2:$A$4,0)),0),2))</f>
        <v/>
      </c>
      <c r="S462" s="13" t="str">
        <f aca="false">IF(Q462="","",Q462-R462-N(I462))</f>
        <v/>
      </c>
      <c r="T462" s="14" t="str">
        <f aca="true">IF(N462="","",IF(P462&lt;&gt;"",P462-N462,TODAY()-N462))</f>
        <v/>
      </c>
      <c r="U462" s="10"/>
      <c r="V462" s="14" t="str">
        <f aca="true">IF(AND(L462="Listed",N462&lt;&gt;"",P462=""),IF(TODAY()-N462&gt;=Settings!$B$6,"STALE",""),"")</f>
        <v/>
      </c>
    </row>
    <row r="463" customFormat="false" ht="15" hidden="false" customHeight="false" outlineLevel="0" collapsed="false">
      <c r="A463" s="10"/>
      <c r="B463" s="10"/>
      <c r="C463" s="10"/>
      <c r="D463" s="10"/>
      <c r="E463" s="10"/>
      <c r="F463" s="10"/>
      <c r="G463" s="10"/>
      <c r="H463" s="10"/>
      <c r="I463" s="11"/>
      <c r="J463" s="10"/>
      <c r="K463" s="10"/>
      <c r="L463" s="10"/>
      <c r="M463" s="12"/>
      <c r="N463" s="12"/>
      <c r="O463" s="11"/>
      <c r="P463" s="12"/>
      <c r="Q463" s="11"/>
      <c r="R463" s="13" t="str">
        <f aca="false">IF(Q463="","",ROUND(Q463*IFERROR(INDEX(Settings!$B$2:$B$4,MATCH(K463,Settings!$A$2:$A$4,0)),0)+IFERROR(INDEX(Settings!$C$2:$C$4,MATCH(K463,Settings!$A$2:$A$4,0)),0),2))</f>
        <v/>
      </c>
      <c r="S463" s="13" t="str">
        <f aca="false">IF(Q463="","",Q463-R463-N(I463))</f>
        <v/>
      </c>
      <c r="T463" s="14" t="str">
        <f aca="true">IF(N463="","",IF(P463&lt;&gt;"",P463-N463,TODAY()-N463))</f>
        <v/>
      </c>
      <c r="U463" s="10"/>
      <c r="V463" s="14" t="str">
        <f aca="true">IF(AND(L463="Listed",N463&lt;&gt;"",P463=""),IF(TODAY()-N463&gt;=Settings!$B$6,"STALE",""),"")</f>
        <v/>
      </c>
    </row>
    <row r="464" customFormat="false" ht="15" hidden="false" customHeight="false" outlineLevel="0" collapsed="false">
      <c r="A464" s="10"/>
      <c r="B464" s="10"/>
      <c r="C464" s="10"/>
      <c r="D464" s="10"/>
      <c r="E464" s="10"/>
      <c r="F464" s="10"/>
      <c r="G464" s="10"/>
      <c r="H464" s="10"/>
      <c r="I464" s="11"/>
      <c r="J464" s="10"/>
      <c r="K464" s="10"/>
      <c r="L464" s="10"/>
      <c r="M464" s="12"/>
      <c r="N464" s="12"/>
      <c r="O464" s="11"/>
      <c r="P464" s="12"/>
      <c r="Q464" s="11"/>
      <c r="R464" s="13" t="str">
        <f aca="false">IF(Q464="","",ROUND(Q464*IFERROR(INDEX(Settings!$B$2:$B$4,MATCH(K464,Settings!$A$2:$A$4,0)),0)+IFERROR(INDEX(Settings!$C$2:$C$4,MATCH(K464,Settings!$A$2:$A$4,0)),0),2))</f>
        <v/>
      </c>
      <c r="S464" s="13" t="str">
        <f aca="false">IF(Q464="","",Q464-R464-N(I464))</f>
        <v/>
      </c>
      <c r="T464" s="14" t="str">
        <f aca="true">IF(N464="","",IF(P464&lt;&gt;"",P464-N464,TODAY()-N464))</f>
        <v/>
      </c>
      <c r="U464" s="10"/>
      <c r="V464" s="14" t="str">
        <f aca="true">IF(AND(L464="Listed",N464&lt;&gt;"",P464=""),IF(TODAY()-N464&gt;=Settings!$B$6,"STALE",""),"")</f>
        <v/>
      </c>
    </row>
    <row r="465" customFormat="false" ht="15" hidden="false" customHeight="false" outlineLevel="0" collapsed="false">
      <c r="A465" s="10"/>
      <c r="B465" s="10"/>
      <c r="C465" s="10"/>
      <c r="D465" s="10"/>
      <c r="E465" s="10"/>
      <c r="F465" s="10"/>
      <c r="G465" s="10"/>
      <c r="H465" s="10"/>
      <c r="I465" s="11"/>
      <c r="J465" s="10"/>
      <c r="K465" s="10"/>
      <c r="L465" s="10"/>
      <c r="M465" s="12"/>
      <c r="N465" s="12"/>
      <c r="O465" s="11"/>
      <c r="P465" s="12"/>
      <c r="Q465" s="11"/>
      <c r="R465" s="13" t="str">
        <f aca="false">IF(Q465="","",ROUND(Q465*IFERROR(INDEX(Settings!$B$2:$B$4,MATCH(K465,Settings!$A$2:$A$4,0)),0)+IFERROR(INDEX(Settings!$C$2:$C$4,MATCH(K465,Settings!$A$2:$A$4,0)),0),2))</f>
        <v/>
      </c>
      <c r="S465" s="13" t="str">
        <f aca="false">IF(Q465="","",Q465-R465-N(I465))</f>
        <v/>
      </c>
      <c r="T465" s="14" t="str">
        <f aca="true">IF(N465="","",IF(P465&lt;&gt;"",P465-N465,TODAY()-N465))</f>
        <v/>
      </c>
      <c r="U465" s="10"/>
      <c r="V465" s="14" t="str">
        <f aca="true">IF(AND(L465="Listed",N465&lt;&gt;"",P465=""),IF(TODAY()-N465&gt;=Settings!$B$6,"STALE",""),"")</f>
        <v/>
      </c>
    </row>
    <row r="466" customFormat="false" ht="15" hidden="false" customHeight="false" outlineLevel="0" collapsed="false">
      <c r="A466" s="10"/>
      <c r="B466" s="10"/>
      <c r="C466" s="10"/>
      <c r="D466" s="10"/>
      <c r="E466" s="10"/>
      <c r="F466" s="10"/>
      <c r="G466" s="10"/>
      <c r="H466" s="10"/>
      <c r="I466" s="11"/>
      <c r="J466" s="10"/>
      <c r="K466" s="10"/>
      <c r="L466" s="10"/>
      <c r="M466" s="12"/>
      <c r="N466" s="12"/>
      <c r="O466" s="11"/>
      <c r="P466" s="12"/>
      <c r="Q466" s="11"/>
      <c r="R466" s="13" t="str">
        <f aca="false">IF(Q466="","",ROUND(Q466*IFERROR(INDEX(Settings!$B$2:$B$4,MATCH(K466,Settings!$A$2:$A$4,0)),0)+IFERROR(INDEX(Settings!$C$2:$C$4,MATCH(K466,Settings!$A$2:$A$4,0)),0),2))</f>
        <v/>
      </c>
      <c r="S466" s="13" t="str">
        <f aca="false">IF(Q466="","",Q466-R466-N(I466))</f>
        <v/>
      </c>
      <c r="T466" s="14" t="str">
        <f aca="true">IF(N466="","",IF(P466&lt;&gt;"",P466-N466,TODAY()-N466))</f>
        <v/>
      </c>
      <c r="U466" s="10"/>
      <c r="V466" s="14" t="str">
        <f aca="true">IF(AND(L466="Listed",N466&lt;&gt;"",P466=""),IF(TODAY()-N466&gt;=Settings!$B$6,"STALE",""),"")</f>
        <v/>
      </c>
    </row>
    <row r="467" customFormat="false" ht="15" hidden="false" customHeight="false" outlineLevel="0" collapsed="false">
      <c r="A467" s="10"/>
      <c r="B467" s="10"/>
      <c r="C467" s="10"/>
      <c r="D467" s="10"/>
      <c r="E467" s="10"/>
      <c r="F467" s="10"/>
      <c r="G467" s="10"/>
      <c r="H467" s="10"/>
      <c r="I467" s="11"/>
      <c r="J467" s="10"/>
      <c r="K467" s="10"/>
      <c r="L467" s="10"/>
      <c r="M467" s="12"/>
      <c r="N467" s="12"/>
      <c r="O467" s="11"/>
      <c r="P467" s="12"/>
      <c r="Q467" s="11"/>
      <c r="R467" s="13" t="str">
        <f aca="false">IF(Q467="","",ROUND(Q467*IFERROR(INDEX(Settings!$B$2:$B$4,MATCH(K467,Settings!$A$2:$A$4,0)),0)+IFERROR(INDEX(Settings!$C$2:$C$4,MATCH(K467,Settings!$A$2:$A$4,0)),0),2))</f>
        <v/>
      </c>
      <c r="S467" s="13" t="str">
        <f aca="false">IF(Q467="","",Q467-R467-N(I467))</f>
        <v/>
      </c>
      <c r="T467" s="14" t="str">
        <f aca="true">IF(N467="","",IF(P467&lt;&gt;"",P467-N467,TODAY()-N467))</f>
        <v/>
      </c>
      <c r="U467" s="10"/>
      <c r="V467" s="14" t="str">
        <f aca="true">IF(AND(L467="Listed",N467&lt;&gt;"",P467=""),IF(TODAY()-N467&gt;=Settings!$B$6,"STALE",""),"")</f>
        <v/>
      </c>
    </row>
    <row r="468" customFormat="false" ht="15" hidden="false" customHeight="false" outlineLevel="0" collapsed="false">
      <c r="A468" s="10"/>
      <c r="B468" s="10"/>
      <c r="C468" s="10"/>
      <c r="D468" s="10"/>
      <c r="E468" s="10"/>
      <c r="F468" s="10"/>
      <c r="G468" s="10"/>
      <c r="H468" s="10"/>
      <c r="I468" s="11"/>
      <c r="J468" s="10"/>
      <c r="K468" s="10"/>
      <c r="L468" s="10"/>
      <c r="M468" s="12"/>
      <c r="N468" s="12"/>
      <c r="O468" s="11"/>
      <c r="P468" s="12"/>
      <c r="Q468" s="11"/>
      <c r="R468" s="13" t="str">
        <f aca="false">IF(Q468="","",ROUND(Q468*IFERROR(INDEX(Settings!$B$2:$B$4,MATCH(K468,Settings!$A$2:$A$4,0)),0)+IFERROR(INDEX(Settings!$C$2:$C$4,MATCH(K468,Settings!$A$2:$A$4,0)),0),2))</f>
        <v/>
      </c>
      <c r="S468" s="13" t="str">
        <f aca="false">IF(Q468="","",Q468-R468-N(I468))</f>
        <v/>
      </c>
      <c r="T468" s="14" t="str">
        <f aca="true">IF(N468="","",IF(P468&lt;&gt;"",P468-N468,TODAY()-N468))</f>
        <v/>
      </c>
      <c r="U468" s="10"/>
      <c r="V468" s="14" t="str">
        <f aca="true">IF(AND(L468="Listed",N468&lt;&gt;"",P468=""),IF(TODAY()-N468&gt;=Settings!$B$6,"STALE",""),"")</f>
        <v/>
      </c>
    </row>
    <row r="469" customFormat="false" ht="15" hidden="false" customHeight="false" outlineLevel="0" collapsed="false">
      <c r="A469" s="10"/>
      <c r="B469" s="10"/>
      <c r="C469" s="10"/>
      <c r="D469" s="10"/>
      <c r="E469" s="10"/>
      <c r="F469" s="10"/>
      <c r="G469" s="10"/>
      <c r="H469" s="10"/>
      <c r="I469" s="11"/>
      <c r="J469" s="10"/>
      <c r="K469" s="10"/>
      <c r="L469" s="10"/>
      <c r="M469" s="12"/>
      <c r="N469" s="12"/>
      <c r="O469" s="11"/>
      <c r="P469" s="12"/>
      <c r="Q469" s="11"/>
      <c r="R469" s="13" t="str">
        <f aca="false">IF(Q469="","",ROUND(Q469*IFERROR(INDEX(Settings!$B$2:$B$4,MATCH(K469,Settings!$A$2:$A$4,0)),0)+IFERROR(INDEX(Settings!$C$2:$C$4,MATCH(K469,Settings!$A$2:$A$4,0)),0),2))</f>
        <v/>
      </c>
      <c r="S469" s="13" t="str">
        <f aca="false">IF(Q469="","",Q469-R469-N(I469))</f>
        <v/>
      </c>
      <c r="T469" s="14" t="str">
        <f aca="true">IF(N469="","",IF(P469&lt;&gt;"",P469-N469,TODAY()-N469))</f>
        <v/>
      </c>
      <c r="U469" s="10"/>
      <c r="V469" s="14" t="str">
        <f aca="true">IF(AND(L469="Listed",N469&lt;&gt;"",P469=""),IF(TODAY()-N469&gt;=Settings!$B$6,"STALE",""),"")</f>
        <v/>
      </c>
    </row>
    <row r="470" customFormat="false" ht="15" hidden="false" customHeight="false" outlineLevel="0" collapsed="false">
      <c r="A470" s="10"/>
      <c r="B470" s="10"/>
      <c r="C470" s="10"/>
      <c r="D470" s="10"/>
      <c r="E470" s="10"/>
      <c r="F470" s="10"/>
      <c r="G470" s="10"/>
      <c r="H470" s="10"/>
      <c r="I470" s="11"/>
      <c r="J470" s="10"/>
      <c r="K470" s="10"/>
      <c r="L470" s="10"/>
      <c r="M470" s="12"/>
      <c r="N470" s="12"/>
      <c r="O470" s="11"/>
      <c r="P470" s="12"/>
      <c r="Q470" s="11"/>
      <c r="R470" s="13" t="str">
        <f aca="false">IF(Q470="","",ROUND(Q470*IFERROR(INDEX(Settings!$B$2:$B$4,MATCH(K470,Settings!$A$2:$A$4,0)),0)+IFERROR(INDEX(Settings!$C$2:$C$4,MATCH(K470,Settings!$A$2:$A$4,0)),0),2))</f>
        <v/>
      </c>
      <c r="S470" s="13" t="str">
        <f aca="false">IF(Q470="","",Q470-R470-N(I470))</f>
        <v/>
      </c>
      <c r="T470" s="14" t="str">
        <f aca="true">IF(N470="","",IF(P470&lt;&gt;"",P470-N470,TODAY()-N470))</f>
        <v/>
      </c>
      <c r="U470" s="10"/>
      <c r="V470" s="14" t="str">
        <f aca="true">IF(AND(L470="Listed",N470&lt;&gt;"",P470=""),IF(TODAY()-N470&gt;=Settings!$B$6,"STALE",""),"")</f>
        <v/>
      </c>
    </row>
    <row r="471" customFormat="false" ht="15" hidden="false" customHeight="false" outlineLevel="0" collapsed="false">
      <c r="A471" s="10"/>
      <c r="B471" s="10"/>
      <c r="C471" s="10"/>
      <c r="D471" s="10"/>
      <c r="E471" s="10"/>
      <c r="F471" s="10"/>
      <c r="G471" s="10"/>
      <c r="H471" s="10"/>
      <c r="I471" s="11"/>
      <c r="J471" s="10"/>
      <c r="K471" s="10"/>
      <c r="L471" s="10"/>
      <c r="M471" s="12"/>
      <c r="N471" s="12"/>
      <c r="O471" s="11"/>
      <c r="P471" s="12"/>
      <c r="Q471" s="11"/>
      <c r="R471" s="13" t="str">
        <f aca="false">IF(Q471="","",ROUND(Q471*IFERROR(INDEX(Settings!$B$2:$B$4,MATCH(K471,Settings!$A$2:$A$4,0)),0)+IFERROR(INDEX(Settings!$C$2:$C$4,MATCH(K471,Settings!$A$2:$A$4,0)),0),2))</f>
        <v/>
      </c>
      <c r="S471" s="13" t="str">
        <f aca="false">IF(Q471="","",Q471-R471-N(I471))</f>
        <v/>
      </c>
      <c r="T471" s="14" t="str">
        <f aca="true">IF(N471="","",IF(P471&lt;&gt;"",P471-N471,TODAY()-N471))</f>
        <v/>
      </c>
      <c r="U471" s="10"/>
      <c r="V471" s="14" t="str">
        <f aca="true">IF(AND(L471="Listed",N471&lt;&gt;"",P471=""),IF(TODAY()-N471&gt;=Settings!$B$6,"STALE",""),"")</f>
        <v/>
      </c>
    </row>
    <row r="472" customFormat="false" ht="15" hidden="false" customHeight="false" outlineLevel="0" collapsed="false">
      <c r="A472" s="10"/>
      <c r="B472" s="10"/>
      <c r="C472" s="10"/>
      <c r="D472" s="10"/>
      <c r="E472" s="10"/>
      <c r="F472" s="10"/>
      <c r="G472" s="10"/>
      <c r="H472" s="10"/>
      <c r="I472" s="11"/>
      <c r="J472" s="10"/>
      <c r="K472" s="10"/>
      <c r="L472" s="10"/>
      <c r="M472" s="12"/>
      <c r="N472" s="12"/>
      <c r="O472" s="11"/>
      <c r="P472" s="12"/>
      <c r="Q472" s="11"/>
      <c r="R472" s="13" t="str">
        <f aca="false">IF(Q472="","",ROUND(Q472*IFERROR(INDEX(Settings!$B$2:$B$4,MATCH(K472,Settings!$A$2:$A$4,0)),0)+IFERROR(INDEX(Settings!$C$2:$C$4,MATCH(K472,Settings!$A$2:$A$4,0)),0),2))</f>
        <v/>
      </c>
      <c r="S472" s="13" t="str">
        <f aca="false">IF(Q472="","",Q472-R472-N(I472))</f>
        <v/>
      </c>
      <c r="T472" s="14" t="str">
        <f aca="true">IF(N472="","",IF(P472&lt;&gt;"",P472-N472,TODAY()-N472))</f>
        <v/>
      </c>
      <c r="U472" s="10"/>
      <c r="V472" s="14" t="str">
        <f aca="true">IF(AND(L472="Listed",N472&lt;&gt;"",P472=""),IF(TODAY()-N472&gt;=Settings!$B$6,"STALE",""),"")</f>
        <v/>
      </c>
    </row>
    <row r="473" customFormat="false" ht="15" hidden="false" customHeight="false" outlineLevel="0" collapsed="false">
      <c r="A473" s="10"/>
      <c r="B473" s="10"/>
      <c r="C473" s="10"/>
      <c r="D473" s="10"/>
      <c r="E473" s="10"/>
      <c r="F473" s="10"/>
      <c r="G473" s="10"/>
      <c r="H473" s="10"/>
      <c r="I473" s="11"/>
      <c r="J473" s="10"/>
      <c r="K473" s="10"/>
      <c r="L473" s="10"/>
      <c r="M473" s="12"/>
      <c r="N473" s="12"/>
      <c r="O473" s="11"/>
      <c r="P473" s="12"/>
      <c r="Q473" s="11"/>
      <c r="R473" s="13" t="str">
        <f aca="false">IF(Q473="","",ROUND(Q473*IFERROR(INDEX(Settings!$B$2:$B$4,MATCH(K473,Settings!$A$2:$A$4,0)),0)+IFERROR(INDEX(Settings!$C$2:$C$4,MATCH(K473,Settings!$A$2:$A$4,0)),0),2))</f>
        <v/>
      </c>
      <c r="S473" s="13" t="str">
        <f aca="false">IF(Q473="","",Q473-R473-N(I473))</f>
        <v/>
      </c>
      <c r="T473" s="14" t="str">
        <f aca="true">IF(N473="","",IF(P473&lt;&gt;"",P473-N473,TODAY()-N473))</f>
        <v/>
      </c>
      <c r="U473" s="10"/>
      <c r="V473" s="14" t="str">
        <f aca="true">IF(AND(L473="Listed",N473&lt;&gt;"",P473=""),IF(TODAY()-N473&gt;=Settings!$B$6,"STALE",""),"")</f>
        <v/>
      </c>
    </row>
    <row r="474" customFormat="false" ht="15" hidden="false" customHeight="false" outlineLevel="0" collapsed="false">
      <c r="A474" s="10"/>
      <c r="B474" s="10"/>
      <c r="C474" s="10"/>
      <c r="D474" s="10"/>
      <c r="E474" s="10"/>
      <c r="F474" s="10"/>
      <c r="G474" s="10"/>
      <c r="H474" s="10"/>
      <c r="I474" s="11"/>
      <c r="J474" s="10"/>
      <c r="K474" s="10"/>
      <c r="L474" s="10"/>
      <c r="M474" s="12"/>
      <c r="N474" s="12"/>
      <c r="O474" s="11"/>
      <c r="P474" s="12"/>
      <c r="Q474" s="11"/>
      <c r="R474" s="13" t="str">
        <f aca="false">IF(Q474="","",ROUND(Q474*IFERROR(INDEX(Settings!$B$2:$B$4,MATCH(K474,Settings!$A$2:$A$4,0)),0)+IFERROR(INDEX(Settings!$C$2:$C$4,MATCH(K474,Settings!$A$2:$A$4,0)),0),2))</f>
        <v/>
      </c>
      <c r="S474" s="13" t="str">
        <f aca="false">IF(Q474="","",Q474-R474-N(I474))</f>
        <v/>
      </c>
      <c r="T474" s="14" t="str">
        <f aca="true">IF(N474="","",IF(P474&lt;&gt;"",P474-N474,TODAY()-N474))</f>
        <v/>
      </c>
      <c r="U474" s="10"/>
      <c r="V474" s="14" t="str">
        <f aca="true">IF(AND(L474="Listed",N474&lt;&gt;"",P474=""),IF(TODAY()-N474&gt;=Settings!$B$6,"STALE",""),"")</f>
        <v/>
      </c>
    </row>
    <row r="475" customFormat="false" ht="15" hidden="false" customHeight="false" outlineLevel="0" collapsed="false">
      <c r="A475" s="10"/>
      <c r="B475" s="10"/>
      <c r="C475" s="10"/>
      <c r="D475" s="10"/>
      <c r="E475" s="10"/>
      <c r="F475" s="10"/>
      <c r="G475" s="10"/>
      <c r="H475" s="10"/>
      <c r="I475" s="11"/>
      <c r="J475" s="10"/>
      <c r="K475" s="10"/>
      <c r="L475" s="10"/>
      <c r="M475" s="12"/>
      <c r="N475" s="12"/>
      <c r="O475" s="11"/>
      <c r="P475" s="12"/>
      <c r="Q475" s="11"/>
      <c r="R475" s="13" t="str">
        <f aca="false">IF(Q475="","",ROUND(Q475*IFERROR(INDEX(Settings!$B$2:$B$4,MATCH(K475,Settings!$A$2:$A$4,0)),0)+IFERROR(INDEX(Settings!$C$2:$C$4,MATCH(K475,Settings!$A$2:$A$4,0)),0),2))</f>
        <v/>
      </c>
      <c r="S475" s="13" t="str">
        <f aca="false">IF(Q475="","",Q475-R475-N(I475))</f>
        <v/>
      </c>
      <c r="T475" s="14" t="str">
        <f aca="true">IF(N475="","",IF(P475&lt;&gt;"",P475-N475,TODAY()-N475))</f>
        <v/>
      </c>
      <c r="U475" s="10"/>
      <c r="V475" s="14" t="str">
        <f aca="true">IF(AND(L475="Listed",N475&lt;&gt;"",P475=""),IF(TODAY()-N475&gt;=Settings!$B$6,"STALE",""),"")</f>
        <v/>
      </c>
    </row>
    <row r="476" customFormat="false" ht="15" hidden="false" customHeight="false" outlineLevel="0" collapsed="false">
      <c r="A476" s="10"/>
      <c r="B476" s="10"/>
      <c r="C476" s="10"/>
      <c r="D476" s="10"/>
      <c r="E476" s="10"/>
      <c r="F476" s="10"/>
      <c r="G476" s="10"/>
      <c r="H476" s="10"/>
      <c r="I476" s="11"/>
      <c r="J476" s="10"/>
      <c r="K476" s="10"/>
      <c r="L476" s="10"/>
      <c r="M476" s="12"/>
      <c r="N476" s="12"/>
      <c r="O476" s="11"/>
      <c r="P476" s="12"/>
      <c r="Q476" s="11"/>
      <c r="R476" s="13" t="str">
        <f aca="false">IF(Q476="","",ROUND(Q476*IFERROR(INDEX(Settings!$B$2:$B$4,MATCH(K476,Settings!$A$2:$A$4,0)),0)+IFERROR(INDEX(Settings!$C$2:$C$4,MATCH(K476,Settings!$A$2:$A$4,0)),0),2))</f>
        <v/>
      </c>
      <c r="S476" s="13" t="str">
        <f aca="false">IF(Q476="","",Q476-R476-N(I476))</f>
        <v/>
      </c>
      <c r="T476" s="14" t="str">
        <f aca="true">IF(N476="","",IF(P476&lt;&gt;"",P476-N476,TODAY()-N476))</f>
        <v/>
      </c>
      <c r="U476" s="10"/>
      <c r="V476" s="14" t="str">
        <f aca="true">IF(AND(L476="Listed",N476&lt;&gt;"",P476=""),IF(TODAY()-N476&gt;=Settings!$B$6,"STALE",""),"")</f>
        <v/>
      </c>
    </row>
    <row r="477" customFormat="false" ht="15" hidden="false" customHeight="false" outlineLevel="0" collapsed="false">
      <c r="A477" s="10"/>
      <c r="B477" s="10"/>
      <c r="C477" s="10"/>
      <c r="D477" s="10"/>
      <c r="E477" s="10"/>
      <c r="F477" s="10"/>
      <c r="G477" s="10"/>
      <c r="H477" s="10"/>
      <c r="I477" s="11"/>
      <c r="J477" s="10"/>
      <c r="K477" s="10"/>
      <c r="L477" s="10"/>
      <c r="M477" s="12"/>
      <c r="N477" s="12"/>
      <c r="O477" s="11"/>
      <c r="P477" s="12"/>
      <c r="Q477" s="11"/>
      <c r="R477" s="13" t="str">
        <f aca="false">IF(Q477="","",ROUND(Q477*IFERROR(INDEX(Settings!$B$2:$B$4,MATCH(K477,Settings!$A$2:$A$4,0)),0)+IFERROR(INDEX(Settings!$C$2:$C$4,MATCH(K477,Settings!$A$2:$A$4,0)),0),2))</f>
        <v/>
      </c>
      <c r="S477" s="13" t="str">
        <f aca="false">IF(Q477="","",Q477-R477-N(I477))</f>
        <v/>
      </c>
      <c r="T477" s="14" t="str">
        <f aca="true">IF(N477="","",IF(P477&lt;&gt;"",P477-N477,TODAY()-N477))</f>
        <v/>
      </c>
      <c r="U477" s="10"/>
      <c r="V477" s="14" t="str">
        <f aca="true">IF(AND(L477="Listed",N477&lt;&gt;"",P477=""),IF(TODAY()-N477&gt;=Settings!$B$6,"STALE",""),"")</f>
        <v/>
      </c>
    </row>
    <row r="478" customFormat="false" ht="15" hidden="false" customHeight="false" outlineLevel="0" collapsed="false">
      <c r="A478" s="10"/>
      <c r="B478" s="10"/>
      <c r="C478" s="10"/>
      <c r="D478" s="10"/>
      <c r="E478" s="10"/>
      <c r="F478" s="10"/>
      <c r="G478" s="10"/>
      <c r="H478" s="10"/>
      <c r="I478" s="11"/>
      <c r="J478" s="10"/>
      <c r="K478" s="10"/>
      <c r="L478" s="10"/>
      <c r="M478" s="12"/>
      <c r="N478" s="12"/>
      <c r="O478" s="11"/>
      <c r="P478" s="12"/>
      <c r="Q478" s="11"/>
      <c r="R478" s="13" t="str">
        <f aca="false">IF(Q478="","",ROUND(Q478*IFERROR(INDEX(Settings!$B$2:$B$4,MATCH(K478,Settings!$A$2:$A$4,0)),0)+IFERROR(INDEX(Settings!$C$2:$C$4,MATCH(K478,Settings!$A$2:$A$4,0)),0),2))</f>
        <v/>
      </c>
      <c r="S478" s="13" t="str">
        <f aca="false">IF(Q478="","",Q478-R478-N(I478))</f>
        <v/>
      </c>
      <c r="T478" s="14" t="str">
        <f aca="true">IF(N478="","",IF(P478&lt;&gt;"",P478-N478,TODAY()-N478))</f>
        <v/>
      </c>
      <c r="U478" s="10"/>
      <c r="V478" s="14" t="str">
        <f aca="true">IF(AND(L478="Listed",N478&lt;&gt;"",P478=""),IF(TODAY()-N478&gt;=Settings!$B$6,"STALE",""),"")</f>
        <v/>
      </c>
    </row>
    <row r="479" customFormat="false" ht="15" hidden="false" customHeight="false" outlineLevel="0" collapsed="false">
      <c r="A479" s="10"/>
      <c r="B479" s="10"/>
      <c r="C479" s="10"/>
      <c r="D479" s="10"/>
      <c r="E479" s="10"/>
      <c r="F479" s="10"/>
      <c r="G479" s="10"/>
      <c r="H479" s="10"/>
      <c r="I479" s="11"/>
      <c r="J479" s="10"/>
      <c r="K479" s="10"/>
      <c r="L479" s="10"/>
      <c r="M479" s="12"/>
      <c r="N479" s="12"/>
      <c r="O479" s="11"/>
      <c r="P479" s="12"/>
      <c r="Q479" s="11"/>
      <c r="R479" s="13" t="str">
        <f aca="false">IF(Q479="","",ROUND(Q479*IFERROR(INDEX(Settings!$B$2:$B$4,MATCH(K479,Settings!$A$2:$A$4,0)),0)+IFERROR(INDEX(Settings!$C$2:$C$4,MATCH(K479,Settings!$A$2:$A$4,0)),0),2))</f>
        <v/>
      </c>
      <c r="S479" s="13" t="str">
        <f aca="false">IF(Q479="","",Q479-R479-N(I479))</f>
        <v/>
      </c>
      <c r="T479" s="14" t="str">
        <f aca="true">IF(N479="","",IF(P479&lt;&gt;"",P479-N479,TODAY()-N479))</f>
        <v/>
      </c>
      <c r="U479" s="10"/>
      <c r="V479" s="14" t="str">
        <f aca="true">IF(AND(L479="Listed",N479&lt;&gt;"",P479=""),IF(TODAY()-N479&gt;=Settings!$B$6,"STALE",""),"")</f>
        <v/>
      </c>
    </row>
    <row r="480" customFormat="false" ht="15" hidden="false" customHeight="false" outlineLevel="0" collapsed="false">
      <c r="A480" s="10"/>
      <c r="B480" s="10"/>
      <c r="C480" s="10"/>
      <c r="D480" s="10"/>
      <c r="E480" s="10"/>
      <c r="F480" s="10"/>
      <c r="G480" s="10"/>
      <c r="H480" s="10"/>
      <c r="I480" s="11"/>
      <c r="J480" s="10"/>
      <c r="K480" s="10"/>
      <c r="L480" s="10"/>
      <c r="M480" s="12"/>
      <c r="N480" s="12"/>
      <c r="O480" s="11"/>
      <c r="P480" s="12"/>
      <c r="Q480" s="11"/>
      <c r="R480" s="13" t="str">
        <f aca="false">IF(Q480="","",ROUND(Q480*IFERROR(INDEX(Settings!$B$2:$B$4,MATCH(K480,Settings!$A$2:$A$4,0)),0)+IFERROR(INDEX(Settings!$C$2:$C$4,MATCH(K480,Settings!$A$2:$A$4,0)),0),2))</f>
        <v/>
      </c>
      <c r="S480" s="13" t="str">
        <f aca="false">IF(Q480="","",Q480-R480-N(I480))</f>
        <v/>
      </c>
      <c r="T480" s="14" t="str">
        <f aca="true">IF(N480="","",IF(P480&lt;&gt;"",P480-N480,TODAY()-N480))</f>
        <v/>
      </c>
      <c r="U480" s="10"/>
      <c r="V480" s="14" t="str">
        <f aca="true">IF(AND(L480="Listed",N480&lt;&gt;"",P480=""),IF(TODAY()-N480&gt;=Settings!$B$6,"STALE",""),"")</f>
        <v/>
      </c>
    </row>
    <row r="481" customFormat="false" ht="15" hidden="false" customHeight="false" outlineLevel="0" collapsed="false">
      <c r="A481" s="10"/>
      <c r="B481" s="10"/>
      <c r="C481" s="10"/>
      <c r="D481" s="10"/>
      <c r="E481" s="10"/>
      <c r="F481" s="10"/>
      <c r="G481" s="10"/>
      <c r="H481" s="10"/>
      <c r="I481" s="11"/>
      <c r="J481" s="10"/>
      <c r="K481" s="10"/>
      <c r="L481" s="10"/>
      <c r="M481" s="12"/>
      <c r="N481" s="12"/>
      <c r="O481" s="11"/>
      <c r="P481" s="12"/>
      <c r="Q481" s="11"/>
      <c r="R481" s="13" t="str">
        <f aca="false">IF(Q481="","",ROUND(Q481*IFERROR(INDEX(Settings!$B$2:$B$4,MATCH(K481,Settings!$A$2:$A$4,0)),0)+IFERROR(INDEX(Settings!$C$2:$C$4,MATCH(K481,Settings!$A$2:$A$4,0)),0),2))</f>
        <v/>
      </c>
      <c r="S481" s="13" t="str">
        <f aca="false">IF(Q481="","",Q481-R481-N(I481))</f>
        <v/>
      </c>
      <c r="T481" s="14" t="str">
        <f aca="true">IF(N481="","",IF(P481&lt;&gt;"",P481-N481,TODAY()-N481))</f>
        <v/>
      </c>
      <c r="U481" s="10"/>
      <c r="V481" s="14" t="str">
        <f aca="true">IF(AND(L481="Listed",N481&lt;&gt;"",P481=""),IF(TODAY()-N481&gt;=Settings!$B$6,"STALE",""),"")</f>
        <v/>
      </c>
    </row>
    <row r="482" customFormat="false" ht="15" hidden="false" customHeight="false" outlineLevel="0" collapsed="false">
      <c r="A482" s="10"/>
      <c r="B482" s="10"/>
      <c r="C482" s="10"/>
      <c r="D482" s="10"/>
      <c r="E482" s="10"/>
      <c r="F482" s="10"/>
      <c r="G482" s="10"/>
      <c r="H482" s="10"/>
      <c r="I482" s="11"/>
      <c r="J482" s="10"/>
      <c r="K482" s="10"/>
      <c r="L482" s="10"/>
      <c r="M482" s="12"/>
      <c r="N482" s="12"/>
      <c r="O482" s="11"/>
      <c r="P482" s="12"/>
      <c r="Q482" s="11"/>
      <c r="R482" s="13" t="str">
        <f aca="false">IF(Q482="","",ROUND(Q482*IFERROR(INDEX(Settings!$B$2:$B$4,MATCH(K482,Settings!$A$2:$A$4,0)),0)+IFERROR(INDEX(Settings!$C$2:$C$4,MATCH(K482,Settings!$A$2:$A$4,0)),0),2))</f>
        <v/>
      </c>
      <c r="S482" s="13" t="str">
        <f aca="false">IF(Q482="","",Q482-R482-N(I482))</f>
        <v/>
      </c>
      <c r="T482" s="14" t="str">
        <f aca="true">IF(N482="","",IF(P482&lt;&gt;"",P482-N482,TODAY()-N482))</f>
        <v/>
      </c>
      <c r="U482" s="10"/>
      <c r="V482" s="14" t="str">
        <f aca="true">IF(AND(L482="Listed",N482&lt;&gt;"",P482=""),IF(TODAY()-N482&gt;=Settings!$B$6,"STALE",""),"")</f>
        <v/>
      </c>
    </row>
    <row r="483" customFormat="false" ht="15" hidden="false" customHeight="false" outlineLevel="0" collapsed="false">
      <c r="A483" s="10"/>
      <c r="B483" s="10"/>
      <c r="C483" s="10"/>
      <c r="D483" s="10"/>
      <c r="E483" s="10"/>
      <c r="F483" s="10"/>
      <c r="G483" s="10"/>
      <c r="H483" s="10"/>
      <c r="I483" s="11"/>
      <c r="J483" s="10"/>
      <c r="K483" s="10"/>
      <c r="L483" s="10"/>
      <c r="M483" s="12"/>
      <c r="N483" s="12"/>
      <c r="O483" s="11"/>
      <c r="P483" s="12"/>
      <c r="Q483" s="11"/>
      <c r="R483" s="13" t="str">
        <f aca="false">IF(Q483="","",ROUND(Q483*IFERROR(INDEX(Settings!$B$2:$B$4,MATCH(K483,Settings!$A$2:$A$4,0)),0)+IFERROR(INDEX(Settings!$C$2:$C$4,MATCH(K483,Settings!$A$2:$A$4,0)),0),2))</f>
        <v/>
      </c>
      <c r="S483" s="13" t="str">
        <f aca="false">IF(Q483="","",Q483-R483-N(I483))</f>
        <v/>
      </c>
      <c r="T483" s="14" t="str">
        <f aca="true">IF(N483="","",IF(P483&lt;&gt;"",P483-N483,TODAY()-N483))</f>
        <v/>
      </c>
      <c r="U483" s="10"/>
      <c r="V483" s="14" t="str">
        <f aca="true">IF(AND(L483="Listed",N483&lt;&gt;"",P483=""),IF(TODAY()-N483&gt;=Settings!$B$6,"STALE",""),"")</f>
        <v/>
      </c>
    </row>
    <row r="484" customFormat="false" ht="15" hidden="false" customHeight="false" outlineLevel="0" collapsed="false">
      <c r="A484" s="10"/>
      <c r="B484" s="10"/>
      <c r="C484" s="10"/>
      <c r="D484" s="10"/>
      <c r="E484" s="10"/>
      <c r="F484" s="10"/>
      <c r="G484" s="10"/>
      <c r="H484" s="10"/>
      <c r="I484" s="11"/>
      <c r="J484" s="10"/>
      <c r="K484" s="10"/>
      <c r="L484" s="10"/>
      <c r="M484" s="12"/>
      <c r="N484" s="12"/>
      <c r="O484" s="11"/>
      <c r="P484" s="12"/>
      <c r="Q484" s="11"/>
      <c r="R484" s="13" t="str">
        <f aca="false">IF(Q484="","",ROUND(Q484*IFERROR(INDEX(Settings!$B$2:$B$4,MATCH(K484,Settings!$A$2:$A$4,0)),0)+IFERROR(INDEX(Settings!$C$2:$C$4,MATCH(K484,Settings!$A$2:$A$4,0)),0),2))</f>
        <v/>
      </c>
      <c r="S484" s="13" t="str">
        <f aca="false">IF(Q484="","",Q484-R484-N(I484))</f>
        <v/>
      </c>
      <c r="T484" s="14" t="str">
        <f aca="true">IF(N484="","",IF(P484&lt;&gt;"",P484-N484,TODAY()-N484))</f>
        <v/>
      </c>
      <c r="U484" s="10"/>
      <c r="V484" s="14" t="str">
        <f aca="true">IF(AND(L484="Listed",N484&lt;&gt;"",P484=""),IF(TODAY()-N484&gt;=Settings!$B$6,"STALE",""),"")</f>
        <v/>
      </c>
    </row>
    <row r="485" customFormat="false" ht="15" hidden="false" customHeight="false" outlineLevel="0" collapsed="false">
      <c r="A485" s="10"/>
      <c r="B485" s="10"/>
      <c r="C485" s="10"/>
      <c r="D485" s="10"/>
      <c r="E485" s="10"/>
      <c r="F485" s="10"/>
      <c r="G485" s="10"/>
      <c r="H485" s="10"/>
      <c r="I485" s="11"/>
      <c r="J485" s="10"/>
      <c r="K485" s="10"/>
      <c r="L485" s="10"/>
      <c r="M485" s="12"/>
      <c r="N485" s="12"/>
      <c r="O485" s="11"/>
      <c r="P485" s="12"/>
      <c r="Q485" s="11"/>
      <c r="R485" s="13" t="str">
        <f aca="false">IF(Q485="","",ROUND(Q485*IFERROR(INDEX(Settings!$B$2:$B$4,MATCH(K485,Settings!$A$2:$A$4,0)),0)+IFERROR(INDEX(Settings!$C$2:$C$4,MATCH(K485,Settings!$A$2:$A$4,0)),0),2))</f>
        <v/>
      </c>
      <c r="S485" s="13" t="str">
        <f aca="false">IF(Q485="","",Q485-R485-N(I485))</f>
        <v/>
      </c>
      <c r="T485" s="14" t="str">
        <f aca="true">IF(N485="","",IF(P485&lt;&gt;"",P485-N485,TODAY()-N485))</f>
        <v/>
      </c>
      <c r="U485" s="10"/>
      <c r="V485" s="14" t="str">
        <f aca="true">IF(AND(L485="Listed",N485&lt;&gt;"",P485=""),IF(TODAY()-N485&gt;=Settings!$B$6,"STALE",""),"")</f>
        <v/>
      </c>
    </row>
    <row r="486" customFormat="false" ht="15" hidden="false" customHeight="false" outlineLevel="0" collapsed="false">
      <c r="A486" s="10"/>
      <c r="B486" s="10"/>
      <c r="C486" s="10"/>
      <c r="D486" s="10"/>
      <c r="E486" s="10"/>
      <c r="F486" s="10"/>
      <c r="G486" s="10"/>
      <c r="H486" s="10"/>
      <c r="I486" s="11"/>
      <c r="J486" s="10"/>
      <c r="K486" s="10"/>
      <c r="L486" s="10"/>
      <c r="M486" s="12"/>
      <c r="N486" s="12"/>
      <c r="O486" s="11"/>
      <c r="P486" s="12"/>
      <c r="Q486" s="11"/>
      <c r="R486" s="13" t="str">
        <f aca="false">IF(Q486="","",ROUND(Q486*IFERROR(INDEX(Settings!$B$2:$B$4,MATCH(K486,Settings!$A$2:$A$4,0)),0)+IFERROR(INDEX(Settings!$C$2:$C$4,MATCH(K486,Settings!$A$2:$A$4,0)),0),2))</f>
        <v/>
      </c>
      <c r="S486" s="13" t="str">
        <f aca="false">IF(Q486="","",Q486-R486-N(I486))</f>
        <v/>
      </c>
      <c r="T486" s="14" t="str">
        <f aca="true">IF(N486="","",IF(P486&lt;&gt;"",P486-N486,TODAY()-N486))</f>
        <v/>
      </c>
      <c r="U486" s="10"/>
      <c r="V486" s="14" t="str">
        <f aca="true">IF(AND(L486="Listed",N486&lt;&gt;"",P486=""),IF(TODAY()-N486&gt;=Settings!$B$6,"STALE",""),"")</f>
        <v/>
      </c>
    </row>
    <row r="487" customFormat="false" ht="15" hidden="false" customHeight="false" outlineLevel="0" collapsed="false">
      <c r="A487" s="10"/>
      <c r="B487" s="10"/>
      <c r="C487" s="10"/>
      <c r="D487" s="10"/>
      <c r="E487" s="10"/>
      <c r="F487" s="10"/>
      <c r="G487" s="10"/>
      <c r="H487" s="10"/>
      <c r="I487" s="11"/>
      <c r="J487" s="10"/>
      <c r="K487" s="10"/>
      <c r="L487" s="10"/>
      <c r="M487" s="12"/>
      <c r="N487" s="12"/>
      <c r="O487" s="11"/>
      <c r="P487" s="12"/>
      <c r="Q487" s="11"/>
      <c r="R487" s="13" t="str">
        <f aca="false">IF(Q487="","",ROUND(Q487*IFERROR(INDEX(Settings!$B$2:$B$4,MATCH(K487,Settings!$A$2:$A$4,0)),0)+IFERROR(INDEX(Settings!$C$2:$C$4,MATCH(K487,Settings!$A$2:$A$4,0)),0),2))</f>
        <v/>
      </c>
      <c r="S487" s="13" t="str">
        <f aca="false">IF(Q487="","",Q487-R487-N(I487))</f>
        <v/>
      </c>
      <c r="T487" s="14" t="str">
        <f aca="true">IF(N487="","",IF(P487&lt;&gt;"",P487-N487,TODAY()-N487))</f>
        <v/>
      </c>
      <c r="U487" s="10"/>
      <c r="V487" s="14" t="str">
        <f aca="true">IF(AND(L487="Listed",N487&lt;&gt;"",P487=""),IF(TODAY()-N487&gt;=Settings!$B$6,"STALE",""),"")</f>
        <v/>
      </c>
    </row>
    <row r="488" customFormat="false" ht="15" hidden="false" customHeight="false" outlineLevel="0" collapsed="false">
      <c r="A488" s="10"/>
      <c r="B488" s="10"/>
      <c r="C488" s="10"/>
      <c r="D488" s="10"/>
      <c r="E488" s="10"/>
      <c r="F488" s="10"/>
      <c r="G488" s="10"/>
      <c r="H488" s="10"/>
      <c r="I488" s="11"/>
      <c r="J488" s="10"/>
      <c r="K488" s="10"/>
      <c r="L488" s="10"/>
      <c r="M488" s="12"/>
      <c r="N488" s="12"/>
      <c r="O488" s="11"/>
      <c r="P488" s="12"/>
      <c r="Q488" s="11"/>
      <c r="R488" s="13" t="str">
        <f aca="false">IF(Q488="","",ROUND(Q488*IFERROR(INDEX(Settings!$B$2:$B$4,MATCH(K488,Settings!$A$2:$A$4,0)),0)+IFERROR(INDEX(Settings!$C$2:$C$4,MATCH(K488,Settings!$A$2:$A$4,0)),0),2))</f>
        <v/>
      </c>
      <c r="S488" s="13" t="str">
        <f aca="false">IF(Q488="","",Q488-R488-N(I488))</f>
        <v/>
      </c>
      <c r="T488" s="14" t="str">
        <f aca="true">IF(N488="","",IF(P488&lt;&gt;"",P488-N488,TODAY()-N488))</f>
        <v/>
      </c>
      <c r="U488" s="10"/>
      <c r="V488" s="14" t="str">
        <f aca="true">IF(AND(L488="Listed",N488&lt;&gt;"",P488=""),IF(TODAY()-N488&gt;=Settings!$B$6,"STALE",""),"")</f>
        <v/>
      </c>
    </row>
    <row r="489" customFormat="false" ht="15" hidden="false" customHeight="false" outlineLevel="0" collapsed="false">
      <c r="A489" s="10"/>
      <c r="B489" s="10"/>
      <c r="C489" s="10"/>
      <c r="D489" s="10"/>
      <c r="E489" s="10"/>
      <c r="F489" s="10"/>
      <c r="G489" s="10"/>
      <c r="H489" s="10"/>
      <c r="I489" s="11"/>
      <c r="J489" s="10"/>
      <c r="K489" s="10"/>
      <c r="L489" s="10"/>
      <c r="M489" s="12"/>
      <c r="N489" s="12"/>
      <c r="O489" s="11"/>
      <c r="P489" s="12"/>
      <c r="Q489" s="11"/>
      <c r="R489" s="13" t="str">
        <f aca="false">IF(Q489="","",ROUND(Q489*IFERROR(INDEX(Settings!$B$2:$B$4,MATCH(K489,Settings!$A$2:$A$4,0)),0)+IFERROR(INDEX(Settings!$C$2:$C$4,MATCH(K489,Settings!$A$2:$A$4,0)),0),2))</f>
        <v/>
      </c>
      <c r="S489" s="13" t="str">
        <f aca="false">IF(Q489="","",Q489-R489-N(I489))</f>
        <v/>
      </c>
      <c r="T489" s="14" t="str">
        <f aca="true">IF(N489="","",IF(P489&lt;&gt;"",P489-N489,TODAY()-N489))</f>
        <v/>
      </c>
      <c r="U489" s="10"/>
      <c r="V489" s="14" t="str">
        <f aca="true">IF(AND(L489="Listed",N489&lt;&gt;"",P489=""),IF(TODAY()-N489&gt;=Settings!$B$6,"STALE",""),"")</f>
        <v/>
      </c>
    </row>
    <row r="490" customFormat="false" ht="15" hidden="false" customHeight="false" outlineLevel="0" collapsed="false">
      <c r="A490" s="10"/>
      <c r="B490" s="10"/>
      <c r="C490" s="10"/>
      <c r="D490" s="10"/>
      <c r="E490" s="10"/>
      <c r="F490" s="10"/>
      <c r="G490" s="10"/>
      <c r="H490" s="10"/>
      <c r="I490" s="11"/>
      <c r="J490" s="10"/>
      <c r="K490" s="10"/>
      <c r="L490" s="10"/>
      <c r="M490" s="12"/>
      <c r="N490" s="12"/>
      <c r="O490" s="11"/>
      <c r="P490" s="12"/>
      <c r="Q490" s="11"/>
      <c r="R490" s="13" t="str">
        <f aca="false">IF(Q490="","",ROUND(Q490*IFERROR(INDEX(Settings!$B$2:$B$4,MATCH(K490,Settings!$A$2:$A$4,0)),0)+IFERROR(INDEX(Settings!$C$2:$C$4,MATCH(K490,Settings!$A$2:$A$4,0)),0),2))</f>
        <v/>
      </c>
      <c r="S490" s="13" t="str">
        <f aca="false">IF(Q490="","",Q490-R490-N(I490))</f>
        <v/>
      </c>
      <c r="T490" s="14" t="str">
        <f aca="true">IF(N490="","",IF(P490&lt;&gt;"",P490-N490,TODAY()-N490))</f>
        <v/>
      </c>
      <c r="U490" s="10"/>
      <c r="V490" s="14" t="str">
        <f aca="true">IF(AND(L490="Listed",N490&lt;&gt;"",P490=""),IF(TODAY()-N490&gt;=Settings!$B$6,"STALE",""),"")</f>
        <v/>
      </c>
    </row>
    <row r="491" customFormat="false" ht="15" hidden="false" customHeight="false" outlineLevel="0" collapsed="false">
      <c r="A491" s="10"/>
      <c r="B491" s="10"/>
      <c r="C491" s="10"/>
      <c r="D491" s="10"/>
      <c r="E491" s="10"/>
      <c r="F491" s="10"/>
      <c r="G491" s="10"/>
      <c r="H491" s="10"/>
      <c r="I491" s="11"/>
      <c r="J491" s="10"/>
      <c r="K491" s="10"/>
      <c r="L491" s="10"/>
      <c r="M491" s="12"/>
      <c r="N491" s="12"/>
      <c r="O491" s="11"/>
      <c r="P491" s="12"/>
      <c r="Q491" s="11"/>
      <c r="R491" s="13" t="str">
        <f aca="false">IF(Q491="","",ROUND(Q491*IFERROR(INDEX(Settings!$B$2:$B$4,MATCH(K491,Settings!$A$2:$A$4,0)),0)+IFERROR(INDEX(Settings!$C$2:$C$4,MATCH(K491,Settings!$A$2:$A$4,0)),0),2))</f>
        <v/>
      </c>
      <c r="S491" s="13" t="str">
        <f aca="false">IF(Q491="","",Q491-R491-N(I491))</f>
        <v/>
      </c>
      <c r="T491" s="14" t="str">
        <f aca="true">IF(N491="","",IF(P491&lt;&gt;"",P491-N491,TODAY()-N491))</f>
        <v/>
      </c>
      <c r="U491" s="10"/>
      <c r="V491" s="14" t="str">
        <f aca="true">IF(AND(L491="Listed",N491&lt;&gt;"",P491=""),IF(TODAY()-N491&gt;=Settings!$B$6,"STALE",""),"")</f>
        <v/>
      </c>
    </row>
    <row r="492" customFormat="false" ht="15" hidden="false" customHeight="false" outlineLevel="0" collapsed="false">
      <c r="A492" s="10"/>
      <c r="B492" s="10"/>
      <c r="C492" s="10"/>
      <c r="D492" s="10"/>
      <c r="E492" s="10"/>
      <c r="F492" s="10"/>
      <c r="G492" s="10"/>
      <c r="H492" s="10"/>
      <c r="I492" s="11"/>
      <c r="J492" s="10"/>
      <c r="K492" s="10"/>
      <c r="L492" s="10"/>
      <c r="M492" s="12"/>
      <c r="N492" s="12"/>
      <c r="O492" s="11"/>
      <c r="P492" s="12"/>
      <c r="Q492" s="11"/>
      <c r="R492" s="13" t="str">
        <f aca="false">IF(Q492="","",ROUND(Q492*IFERROR(INDEX(Settings!$B$2:$B$4,MATCH(K492,Settings!$A$2:$A$4,0)),0)+IFERROR(INDEX(Settings!$C$2:$C$4,MATCH(K492,Settings!$A$2:$A$4,0)),0),2))</f>
        <v/>
      </c>
      <c r="S492" s="13" t="str">
        <f aca="false">IF(Q492="","",Q492-R492-N(I492))</f>
        <v/>
      </c>
      <c r="T492" s="14" t="str">
        <f aca="true">IF(N492="","",IF(P492&lt;&gt;"",P492-N492,TODAY()-N492))</f>
        <v/>
      </c>
      <c r="U492" s="10"/>
      <c r="V492" s="14" t="str">
        <f aca="true">IF(AND(L492="Listed",N492&lt;&gt;"",P492=""),IF(TODAY()-N492&gt;=Settings!$B$6,"STALE",""),"")</f>
        <v/>
      </c>
    </row>
    <row r="493" customFormat="false" ht="15" hidden="false" customHeight="false" outlineLevel="0" collapsed="false">
      <c r="A493" s="10"/>
      <c r="B493" s="10"/>
      <c r="C493" s="10"/>
      <c r="D493" s="10"/>
      <c r="E493" s="10"/>
      <c r="F493" s="10"/>
      <c r="G493" s="10"/>
      <c r="H493" s="10"/>
      <c r="I493" s="11"/>
      <c r="J493" s="10"/>
      <c r="K493" s="10"/>
      <c r="L493" s="10"/>
      <c r="M493" s="12"/>
      <c r="N493" s="12"/>
      <c r="O493" s="11"/>
      <c r="P493" s="12"/>
      <c r="Q493" s="11"/>
      <c r="R493" s="13" t="str">
        <f aca="false">IF(Q493="","",ROUND(Q493*IFERROR(INDEX(Settings!$B$2:$B$4,MATCH(K493,Settings!$A$2:$A$4,0)),0)+IFERROR(INDEX(Settings!$C$2:$C$4,MATCH(K493,Settings!$A$2:$A$4,0)),0),2))</f>
        <v/>
      </c>
      <c r="S493" s="13" t="str">
        <f aca="false">IF(Q493="","",Q493-R493-N(I493))</f>
        <v/>
      </c>
      <c r="T493" s="14" t="str">
        <f aca="true">IF(N493="","",IF(P493&lt;&gt;"",P493-N493,TODAY()-N493))</f>
        <v/>
      </c>
      <c r="U493" s="10"/>
      <c r="V493" s="14" t="str">
        <f aca="true">IF(AND(L493="Listed",N493&lt;&gt;"",P493=""),IF(TODAY()-N493&gt;=Settings!$B$6,"STALE",""),"")</f>
        <v/>
      </c>
    </row>
    <row r="494" customFormat="false" ht="15" hidden="false" customHeight="false" outlineLevel="0" collapsed="false">
      <c r="A494" s="10"/>
      <c r="B494" s="10"/>
      <c r="C494" s="10"/>
      <c r="D494" s="10"/>
      <c r="E494" s="10"/>
      <c r="F494" s="10"/>
      <c r="G494" s="10"/>
      <c r="H494" s="10"/>
      <c r="I494" s="11"/>
      <c r="J494" s="10"/>
      <c r="K494" s="10"/>
      <c r="L494" s="10"/>
      <c r="M494" s="12"/>
      <c r="N494" s="12"/>
      <c r="O494" s="11"/>
      <c r="P494" s="12"/>
      <c r="Q494" s="11"/>
      <c r="R494" s="13" t="str">
        <f aca="false">IF(Q494="","",ROUND(Q494*IFERROR(INDEX(Settings!$B$2:$B$4,MATCH(K494,Settings!$A$2:$A$4,0)),0)+IFERROR(INDEX(Settings!$C$2:$C$4,MATCH(K494,Settings!$A$2:$A$4,0)),0),2))</f>
        <v/>
      </c>
      <c r="S494" s="13" t="str">
        <f aca="false">IF(Q494="","",Q494-R494-N(I494))</f>
        <v/>
      </c>
      <c r="T494" s="14" t="str">
        <f aca="true">IF(N494="","",IF(P494&lt;&gt;"",P494-N494,TODAY()-N494))</f>
        <v/>
      </c>
      <c r="U494" s="10"/>
      <c r="V494" s="14" t="str">
        <f aca="true">IF(AND(L494="Listed",N494&lt;&gt;"",P494=""),IF(TODAY()-N494&gt;=Settings!$B$6,"STALE",""),"")</f>
        <v/>
      </c>
    </row>
    <row r="495" customFormat="false" ht="15" hidden="false" customHeight="false" outlineLevel="0" collapsed="false">
      <c r="A495" s="10"/>
      <c r="B495" s="10"/>
      <c r="C495" s="10"/>
      <c r="D495" s="10"/>
      <c r="E495" s="10"/>
      <c r="F495" s="10"/>
      <c r="G495" s="10"/>
      <c r="H495" s="10"/>
      <c r="I495" s="11"/>
      <c r="J495" s="10"/>
      <c r="K495" s="10"/>
      <c r="L495" s="10"/>
      <c r="M495" s="12"/>
      <c r="N495" s="12"/>
      <c r="O495" s="11"/>
      <c r="P495" s="12"/>
      <c r="Q495" s="11"/>
      <c r="R495" s="13" t="str">
        <f aca="false">IF(Q495="","",ROUND(Q495*IFERROR(INDEX(Settings!$B$2:$B$4,MATCH(K495,Settings!$A$2:$A$4,0)),0)+IFERROR(INDEX(Settings!$C$2:$C$4,MATCH(K495,Settings!$A$2:$A$4,0)),0),2))</f>
        <v/>
      </c>
      <c r="S495" s="13" t="str">
        <f aca="false">IF(Q495="","",Q495-R495-N(I495))</f>
        <v/>
      </c>
      <c r="T495" s="14" t="str">
        <f aca="true">IF(N495="","",IF(P495&lt;&gt;"",P495-N495,TODAY()-N495))</f>
        <v/>
      </c>
      <c r="U495" s="10"/>
      <c r="V495" s="14" t="str">
        <f aca="true">IF(AND(L495="Listed",N495&lt;&gt;"",P495=""),IF(TODAY()-N495&gt;=Settings!$B$6,"STALE",""),"")</f>
        <v/>
      </c>
    </row>
    <row r="496" customFormat="false" ht="15" hidden="false" customHeight="false" outlineLevel="0" collapsed="false">
      <c r="A496" s="10"/>
      <c r="B496" s="10"/>
      <c r="C496" s="10"/>
      <c r="D496" s="10"/>
      <c r="E496" s="10"/>
      <c r="F496" s="10"/>
      <c r="G496" s="10"/>
      <c r="H496" s="10"/>
      <c r="I496" s="11"/>
      <c r="J496" s="10"/>
      <c r="K496" s="10"/>
      <c r="L496" s="10"/>
      <c r="M496" s="12"/>
      <c r="N496" s="12"/>
      <c r="O496" s="11"/>
      <c r="P496" s="12"/>
      <c r="Q496" s="11"/>
      <c r="R496" s="13" t="str">
        <f aca="false">IF(Q496="","",ROUND(Q496*IFERROR(INDEX(Settings!$B$2:$B$4,MATCH(K496,Settings!$A$2:$A$4,0)),0)+IFERROR(INDEX(Settings!$C$2:$C$4,MATCH(K496,Settings!$A$2:$A$4,0)),0),2))</f>
        <v/>
      </c>
      <c r="S496" s="13" t="str">
        <f aca="false">IF(Q496="","",Q496-R496-N(I496))</f>
        <v/>
      </c>
      <c r="T496" s="14" t="str">
        <f aca="true">IF(N496="","",IF(P496&lt;&gt;"",P496-N496,TODAY()-N496))</f>
        <v/>
      </c>
      <c r="U496" s="10"/>
      <c r="V496" s="14" t="str">
        <f aca="true">IF(AND(L496="Listed",N496&lt;&gt;"",P496=""),IF(TODAY()-N496&gt;=Settings!$B$6,"STALE",""),"")</f>
        <v/>
      </c>
    </row>
    <row r="497" customFormat="false" ht="15" hidden="false" customHeight="false" outlineLevel="0" collapsed="false">
      <c r="A497" s="10"/>
      <c r="B497" s="10"/>
      <c r="C497" s="10"/>
      <c r="D497" s="10"/>
      <c r="E497" s="10"/>
      <c r="F497" s="10"/>
      <c r="G497" s="10"/>
      <c r="H497" s="10"/>
      <c r="I497" s="11"/>
      <c r="J497" s="10"/>
      <c r="K497" s="10"/>
      <c r="L497" s="10"/>
      <c r="M497" s="12"/>
      <c r="N497" s="12"/>
      <c r="O497" s="11"/>
      <c r="P497" s="12"/>
      <c r="Q497" s="11"/>
      <c r="R497" s="13" t="str">
        <f aca="false">IF(Q497="","",ROUND(Q497*IFERROR(INDEX(Settings!$B$2:$B$4,MATCH(K497,Settings!$A$2:$A$4,0)),0)+IFERROR(INDEX(Settings!$C$2:$C$4,MATCH(K497,Settings!$A$2:$A$4,0)),0),2))</f>
        <v/>
      </c>
      <c r="S497" s="13" t="str">
        <f aca="false">IF(Q497="","",Q497-R497-N(I497))</f>
        <v/>
      </c>
      <c r="T497" s="14" t="str">
        <f aca="true">IF(N497="","",IF(P497&lt;&gt;"",P497-N497,TODAY()-N497))</f>
        <v/>
      </c>
      <c r="U497" s="10"/>
      <c r="V497" s="14" t="str">
        <f aca="true">IF(AND(L497="Listed",N497&lt;&gt;"",P497=""),IF(TODAY()-N497&gt;=Settings!$B$6,"STALE",""),"")</f>
        <v/>
      </c>
    </row>
    <row r="498" customFormat="false" ht="15" hidden="false" customHeight="false" outlineLevel="0" collapsed="false">
      <c r="A498" s="10"/>
      <c r="B498" s="10"/>
      <c r="C498" s="10"/>
      <c r="D498" s="10"/>
      <c r="E498" s="10"/>
      <c r="F498" s="10"/>
      <c r="G498" s="10"/>
      <c r="H498" s="10"/>
      <c r="I498" s="11"/>
      <c r="J498" s="10"/>
      <c r="K498" s="10"/>
      <c r="L498" s="10"/>
      <c r="M498" s="12"/>
      <c r="N498" s="12"/>
      <c r="O498" s="11"/>
      <c r="P498" s="12"/>
      <c r="Q498" s="11"/>
      <c r="R498" s="13" t="str">
        <f aca="false">IF(Q498="","",ROUND(Q498*IFERROR(INDEX(Settings!$B$2:$B$4,MATCH(K498,Settings!$A$2:$A$4,0)),0)+IFERROR(INDEX(Settings!$C$2:$C$4,MATCH(K498,Settings!$A$2:$A$4,0)),0),2))</f>
        <v/>
      </c>
      <c r="S498" s="13" t="str">
        <f aca="false">IF(Q498="","",Q498-R498-N(I498))</f>
        <v/>
      </c>
      <c r="T498" s="14" t="str">
        <f aca="true">IF(N498="","",IF(P498&lt;&gt;"",P498-N498,TODAY()-N498))</f>
        <v/>
      </c>
      <c r="U498" s="10"/>
      <c r="V498" s="14" t="str">
        <f aca="true">IF(AND(L498="Listed",N498&lt;&gt;"",P498=""),IF(TODAY()-N498&gt;=Settings!$B$6,"STALE",""),"")</f>
        <v/>
      </c>
    </row>
    <row r="499" customFormat="false" ht="15" hidden="false" customHeight="false" outlineLevel="0" collapsed="false">
      <c r="A499" s="10"/>
      <c r="B499" s="10"/>
      <c r="C499" s="10"/>
      <c r="D499" s="10"/>
      <c r="E499" s="10"/>
      <c r="F499" s="10"/>
      <c r="G499" s="10"/>
      <c r="H499" s="10"/>
      <c r="I499" s="11"/>
      <c r="J499" s="10"/>
      <c r="K499" s="10"/>
      <c r="L499" s="10"/>
      <c r="M499" s="12"/>
      <c r="N499" s="12"/>
      <c r="O499" s="11"/>
      <c r="P499" s="12"/>
      <c r="Q499" s="11"/>
      <c r="R499" s="13" t="str">
        <f aca="false">IF(Q499="","",ROUND(Q499*IFERROR(INDEX(Settings!$B$2:$B$4,MATCH(K499,Settings!$A$2:$A$4,0)),0)+IFERROR(INDEX(Settings!$C$2:$C$4,MATCH(K499,Settings!$A$2:$A$4,0)),0),2))</f>
        <v/>
      </c>
      <c r="S499" s="13" t="str">
        <f aca="false">IF(Q499="","",Q499-R499-N(I499))</f>
        <v/>
      </c>
      <c r="T499" s="14" t="str">
        <f aca="true">IF(N499="","",IF(P499&lt;&gt;"",P499-N499,TODAY()-N499))</f>
        <v/>
      </c>
      <c r="U499" s="10"/>
      <c r="V499" s="14" t="str">
        <f aca="true">IF(AND(L499="Listed",N499&lt;&gt;"",P499=""),IF(TODAY()-N499&gt;=Settings!$B$6,"STALE",""),"")</f>
        <v/>
      </c>
    </row>
    <row r="500" customFormat="false" ht="15" hidden="false" customHeight="false" outlineLevel="0" collapsed="false">
      <c r="A500" s="10"/>
      <c r="B500" s="10"/>
      <c r="C500" s="10"/>
      <c r="D500" s="10"/>
      <c r="E500" s="10"/>
      <c r="F500" s="10"/>
      <c r="G500" s="10"/>
      <c r="H500" s="10"/>
      <c r="I500" s="11"/>
      <c r="J500" s="10"/>
      <c r="K500" s="10"/>
      <c r="L500" s="10"/>
      <c r="M500" s="12"/>
      <c r="N500" s="12"/>
      <c r="O500" s="11"/>
      <c r="P500" s="12"/>
      <c r="Q500" s="11"/>
      <c r="R500" s="13" t="str">
        <f aca="false">IF(Q500="","",ROUND(Q500*IFERROR(INDEX(Settings!$B$2:$B$4,MATCH(K500,Settings!$A$2:$A$4,0)),0)+IFERROR(INDEX(Settings!$C$2:$C$4,MATCH(K500,Settings!$A$2:$A$4,0)),0),2))</f>
        <v/>
      </c>
      <c r="S500" s="13" t="str">
        <f aca="false">IF(Q500="","",Q500-R500-N(I500))</f>
        <v/>
      </c>
      <c r="T500" s="14" t="str">
        <f aca="true">IF(N500="","",IF(P500&lt;&gt;"",P500-N500,TODAY()-N500))</f>
        <v/>
      </c>
      <c r="U500" s="10"/>
      <c r="V500" s="14" t="str">
        <f aca="true">IF(AND(L500="Listed",N500&lt;&gt;"",P500=""),IF(TODAY()-N500&gt;=Settings!$B$6,"STALE",""),"")</f>
        <v/>
      </c>
    </row>
    <row r="501" customFormat="false" ht="15" hidden="false" customHeight="false" outlineLevel="0" collapsed="false">
      <c r="A501" s="10"/>
      <c r="B501" s="10"/>
      <c r="C501" s="10"/>
      <c r="D501" s="10"/>
      <c r="E501" s="10"/>
      <c r="F501" s="10"/>
      <c r="G501" s="10"/>
      <c r="H501" s="10"/>
      <c r="I501" s="11"/>
      <c r="J501" s="10"/>
      <c r="K501" s="10"/>
      <c r="L501" s="10"/>
      <c r="M501" s="12"/>
      <c r="N501" s="12"/>
      <c r="O501" s="11"/>
      <c r="P501" s="12"/>
      <c r="Q501" s="11"/>
      <c r="R501" s="13" t="str">
        <f aca="false">IF(Q501="","",ROUND(Q501*IFERROR(INDEX(Settings!$B$2:$B$4,MATCH(K501,Settings!$A$2:$A$4,0)),0)+IFERROR(INDEX(Settings!$C$2:$C$4,MATCH(K501,Settings!$A$2:$A$4,0)),0),2))</f>
        <v/>
      </c>
      <c r="S501" s="13" t="str">
        <f aca="false">IF(Q501="","",Q501-R501-N(I501))</f>
        <v/>
      </c>
      <c r="T501" s="14" t="str">
        <f aca="true">IF(N501="","",IF(P501&lt;&gt;"",P501-N501,TODAY()-N501))</f>
        <v/>
      </c>
      <c r="U501" s="10"/>
      <c r="V501" s="14" t="str">
        <f aca="true">IF(AND(L501="Listed",N501&lt;&gt;"",P501=""),IF(TODAY()-N501&gt;=Settings!$B$6,"STALE",""),"")</f>
        <v/>
      </c>
    </row>
  </sheetData>
  <autoFilter ref="A1:V501"/>
  <conditionalFormatting sqref="A2:V501">
    <cfRule type="expression" priority="2" aboveAverage="0" equalAverage="0" bottom="0" percent="0" rank="0" text="" dxfId="5">
      <formula>$V2="STALE"</formula>
    </cfRule>
    <cfRule type="expression" priority="3" aboveAverage="0" equalAverage="0" bottom="0" percent="0" rank="0" text="" dxfId="6">
      <formula>OR($L2="Sold",$L2="Shipped")</formula>
    </cfRule>
  </conditionalFormatting>
  <dataValidations count="5">
    <dataValidation allowBlank="true" errorStyle="stop" operator="between" showDropDown="false" showErrorMessage="false" showInputMessage="false" sqref="H2:H501" type="list">
      <formula1>Settings!$A$10:$A$14</formula1>
      <formula2>0</formula2>
    </dataValidation>
    <dataValidation allowBlank="true" errorStyle="stop" operator="between" showDropDown="false" showErrorMessage="false" showInputMessage="false" sqref="L2:L501" type="list">
      <formula1>Settings!$B$10:$B$13</formula1>
      <formula2>0</formula2>
    </dataValidation>
    <dataValidation allowBlank="true" errorStyle="stop" operator="between" showDropDown="false" showErrorMessage="false" showInputMessage="false" sqref="E2:E501" type="list">
      <formula1>Settings!$C$10:$C$14</formula1>
      <formula2>0</formula2>
    </dataValidation>
    <dataValidation allowBlank="true" errorStyle="stop" operator="between" showDropDown="false" showErrorMessage="false" showInputMessage="false" sqref="G2:G501" type="list">
      <formula1>Settings!$D$10:$D$14</formula1>
      <formula2>0</formula2>
    </dataValidation>
    <dataValidation allowBlank="true" errorStyle="stop" operator="between" showDropDown="false" showErrorMessage="false" showInputMessage="false" sqref="K2:K501" type="list">
      <formula1>Settings!$A$2:$A$4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7" t="s">
        <v>12</v>
      </c>
      <c r="B1" s="7" t="s">
        <v>67</v>
      </c>
      <c r="C1" s="7" t="s">
        <v>68</v>
      </c>
      <c r="D1" s="7" t="s">
        <v>56</v>
      </c>
    </row>
    <row r="2" customFormat="false" ht="15" hidden="false" customHeight="false" outlineLevel="0" collapsed="false">
      <c r="A2" s="8" t="s">
        <v>15</v>
      </c>
      <c r="B2" s="15" t="n">
        <v>0.033</v>
      </c>
      <c r="C2" s="16" t="n">
        <v>0.45</v>
      </c>
      <c r="D2" s="8" t="s">
        <v>69</v>
      </c>
    </row>
    <row r="3" customFormat="false" ht="15" hidden="false" customHeight="false" outlineLevel="0" collapsed="false">
      <c r="A3" s="8" t="s">
        <v>16</v>
      </c>
      <c r="B3" s="15" t="n">
        <v>0</v>
      </c>
      <c r="C3" s="16" t="n">
        <v>0</v>
      </c>
      <c r="D3" s="8" t="s">
        <v>70</v>
      </c>
    </row>
    <row r="4" customFormat="false" ht="15" hidden="false" customHeight="false" outlineLevel="0" collapsed="false">
      <c r="A4" s="8" t="s">
        <v>17</v>
      </c>
      <c r="B4" s="15" t="n">
        <v>0</v>
      </c>
      <c r="C4" s="16" t="n">
        <v>0</v>
      </c>
      <c r="D4" s="8" t="s">
        <v>71</v>
      </c>
    </row>
    <row r="6" customFormat="false" ht="15" hidden="false" customHeight="false" outlineLevel="0" collapsed="false">
      <c r="A6" s="2" t="s">
        <v>72</v>
      </c>
      <c r="B6" s="17" t="n">
        <v>30</v>
      </c>
    </row>
    <row r="8" customFormat="false" ht="15" hidden="false" customHeight="false" outlineLevel="0" collapsed="false">
      <c r="A8" s="2" t="s">
        <v>73</v>
      </c>
    </row>
    <row r="9" customFormat="false" ht="15" hidden="false" customHeight="false" outlineLevel="0" collapsed="false">
      <c r="A9" s="2" t="s">
        <v>19</v>
      </c>
      <c r="B9" s="2" t="s">
        <v>49</v>
      </c>
      <c r="C9" s="2" t="s">
        <v>44</v>
      </c>
      <c r="D9" s="2" t="s">
        <v>46</v>
      </c>
    </row>
    <row r="10" customFormat="false" ht="15" hidden="false" customHeight="false" outlineLevel="0" collapsed="false">
      <c r="A10" s="8" t="s">
        <v>20</v>
      </c>
      <c r="B10" s="8" t="s">
        <v>8</v>
      </c>
      <c r="C10" s="8" t="s">
        <v>74</v>
      </c>
      <c r="D10" s="8" t="s">
        <v>75</v>
      </c>
    </row>
    <row r="11" customFormat="false" ht="15" hidden="false" customHeight="false" outlineLevel="0" collapsed="false">
      <c r="A11" s="8" t="s">
        <v>21</v>
      </c>
      <c r="B11" s="8" t="s">
        <v>76</v>
      </c>
      <c r="C11" s="8" t="s">
        <v>77</v>
      </c>
      <c r="D11" s="8" t="s">
        <v>78</v>
      </c>
    </row>
    <row r="12" customFormat="false" ht="15" hidden="false" customHeight="false" outlineLevel="0" collapsed="false">
      <c r="A12" s="8" t="s">
        <v>22</v>
      </c>
      <c r="B12" s="8" t="s">
        <v>13</v>
      </c>
      <c r="C12" s="8" t="s">
        <v>62</v>
      </c>
      <c r="D12" s="8" t="s">
        <v>64</v>
      </c>
    </row>
    <row r="13" customFormat="false" ht="15" hidden="false" customHeight="false" outlineLevel="0" collapsed="false">
      <c r="A13" s="8" t="s">
        <v>23</v>
      </c>
      <c r="B13" s="8" t="s">
        <v>79</v>
      </c>
      <c r="C13" s="8" t="s">
        <v>80</v>
      </c>
      <c r="D13" s="8" t="s">
        <v>81</v>
      </c>
    </row>
    <row r="14" customFormat="false" ht="15" hidden="false" customHeight="false" outlineLevel="0" collapsed="false">
      <c r="A14" s="8" t="s">
        <v>17</v>
      </c>
      <c r="C14" s="8" t="s">
        <v>82</v>
      </c>
      <c r="D14" s="8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2026-10-29T15:45:07Z</dcterms:created>
  <dc:creator>openpyxl</dc:creator>
  <dc:description/>
  <dc:language>en-US</dc:language>
  <cp:lastModifiedBy/>
  <dcterms:modified xsi:type="dcterms:W3CDTF">2026-10-29T15:45:08Z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